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\Documents\Julia Scripts\test_workbook splitting\"/>
    </mc:Choice>
  </mc:AlternateContent>
  <xr:revisionPtr revIDLastSave="0" documentId="13_ncr:1_{C87A860C-B0A8-4B60-B9B7-66B6537031CA}" xr6:coauthVersionLast="47" xr6:coauthVersionMax="47" xr10:uidLastSave="{00000000-0000-0000-0000-000000000000}"/>
  <bookViews>
    <workbookView xWindow="28680" yWindow="-2520" windowWidth="38640" windowHeight="21240" activeTab="7" xr2:uid="{0730395C-A07A-458E-8FD4-879B7BA16756}"/>
  </bookViews>
  <sheets>
    <sheet name="base" sheetId="1" r:id="rId1"/>
    <sheet name="core" sheetId="3" r:id="rId2"/>
    <sheet name="not_core" sheetId="6" r:id="rId3"/>
    <sheet name="scaled" sheetId="2" r:id="rId4"/>
    <sheet name="imperial" sheetId="8" r:id="rId5"/>
    <sheet name="examples" sheetId="9" r:id="rId6"/>
    <sheet name="dimensions" sheetId="10" r:id="rId7"/>
    <sheet name="si_prefixes" sheetId="11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8" l="1"/>
  <c r="D6" i="8"/>
  <c r="D4" i="8"/>
  <c r="D2" i="8"/>
  <c r="D3" i="8"/>
  <c r="D3" i="6"/>
</calcChain>
</file>

<file path=xl/sharedStrings.xml><?xml version="1.0" encoding="utf-8"?>
<sst xmlns="http://schemas.openxmlformats.org/spreadsheetml/2006/main" count="523" uniqueCount="380">
  <si>
    <t>unit</t>
  </si>
  <si>
    <t>metre</t>
  </si>
  <si>
    <t>kilogram</t>
  </si>
  <si>
    <t>second</t>
  </si>
  <si>
    <t>ampere</t>
  </si>
  <si>
    <t>kelvin</t>
  </si>
  <si>
    <t>mole</t>
  </si>
  <si>
    <t>candela</t>
  </si>
  <si>
    <t>m</t>
  </si>
  <si>
    <t>k</t>
  </si>
  <si>
    <t>s</t>
  </si>
  <si>
    <t>kg</t>
  </si>
  <si>
    <t>A</t>
  </si>
  <si>
    <t>mol</t>
  </si>
  <si>
    <t>cd</t>
  </si>
  <si>
    <t>length</t>
  </si>
  <si>
    <t>mass</t>
  </si>
  <si>
    <t>time</t>
  </si>
  <si>
    <t>electric current</t>
  </si>
  <si>
    <t>thermodynamic temperature</t>
  </si>
  <si>
    <t>amount of substance</t>
  </si>
  <si>
    <t>luminous intensity</t>
  </si>
  <si>
    <t>uname</t>
  </si>
  <si>
    <t>latex_string</t>
  </si>
  <si>
    <t>dim-t</t>
  </si>
  <si>
    <t>dim-l</t>
  </si>
  <si>
    <t>dim-m</t>
  </si>
  <si>
    <t>dim-i</t>
  </si>
  <si>
    <t>dim-k</t>
  </si>
  <si>
    <t>dim-n</t>
  </si>
  <si>
    <t>dim-j</t>
  </si>
  <si>
    <t>mm</t>
  </si>
  <si>
    <t>millimetre</t>
  </si>
  <si>
    <t>cm</t>
  </si>
  <si>
    <t>km</t>
  </si>
  <si>
    <t>nm</t>
  </si>
  <si>
    <t>pm</t>
  </si>
  <si>
    <t>gm</t>
  </si>
  <si>
    <t>centimetre</t>
  </si>
  <si>
    <t>kilometre</t>
  </si>
  <si>
    <t>nanometre</t>
  </si>
  <si>
    <t>picometre</t>
  </si>
  <si>
    <t>gram</t>
  </si>
  <si>
    <t>micron</t>
  </si>
  <si>
    <t>micrometre</t>
  </si>
  <si>
    <t>area</t>
  </si>
  <si>
    <t>square meter</t>
  </si>
  <si>
    <t>volume</t>
  </si>
  <si>
    <t>cubic meter</t>
  </si>
  <si>
    <t>meter per second</t>
  </si>
  <si>
    <t>m/s</t>
  </si>
  <si>
    <t>acceleration</t>
  </si>
  <si>
    <t>meter per second squared  </t>
  </si>
  <si>
    <t>wave number</t>
  </si>
  <si>
    <t>reciprocal meter</t>
  </si>
  <si>
    <t>mass density</t>
  </si>
  <si>
    <t>kilogram per cubic meter</t>
  </si>
  <si>
    <t>specific volume</t>
  </si>
  <si>
    <t>cubic meter per kilogram</t>
  </si>
  <si>
    <t>current density</t>
  </si>
  <si>
    <t>ampere per square meter</t>
  </si>
  <si>
    <t>magnetic field strength  </t>
  </si>
  <si>
    <t>ampere per meter</t>
  </si>
  <si>
    <t>A/m</t>
  </si>
  <si>
    <t>amount-of-substance concentration</t>
  </si>
  <si>
    <t>mole per cubic meter</t>
  </si>
  <si>
    <t>luminance</t>
  </si>
  <si>
    <t>candela per square meter</t>
  </si>
  <si>
    <t>m2</t>
  </si>
  <si>
    <t>m3</t>
  </si>
  <si>
    <t>m/s2</t>
  </si>
  <si>
    <t>m-1</t>
  </si>
  <si>
    <t>kg/m3</t>
  </si>
  <si>
    <t>m3/kg</t>
  </si>
  <si>
    <t>A/m2</t>
  </si>
  <si>
    <t>mol/m3</t>
  </si>
  <si>
    <t>cd/m2</t>
  </si>
  <si>
    <t>plane angle</t>
  </si>
  <si>
    <t>rad</t>
  </si>
  <si>
    <t>solid angle</t>
  </si>
  <si>
    <t>frequency</t>
  </si>
  <si>
    <t>hertz</t>
  </si>
  <si>
    <t>Hz</t>
  </si>
  <si>
    <t>force</t>
  </si>
  <si>
    <t>newton</t>
  </si>
  <si>
    <t>N</t>
  </si>
  <si>
    <t>pressure, stress</t>
  </si>
  <si>
    <t>pascal</t>
  </si>
  <si>
    <t>Pa</t>
  </si>
  <si>
    <t>energy, work, quantity of heat  </t>
  </si>
  <si>
    <t>joule</t>
  </si>
  <si>
    <t>J</t>
  </si>
  <si>
    <t>power, radiant flux</t>
  </si>
  <si>
    <t>watt</t>
  </si>
  <si>
    <t>W</t>
  </si>
  <si>
    <t>electric charge, quantity of electricity</t>
  </si>
  <si>
    <t>coulomb</t>
  </si>
  <si>
    <t>C</t>
  </si>
  <si>
    <t>electric potential difference,</t>
  </si>
  <si>
    <t>volt</t>
  </si>
  <si>
    <t>V</t>
  </si>
  <si>
    <t>capacitance</t>
  </si>
  <si>
    <t>farad</t>
  </si>
  <si>
    <t>F</t>
  </si>
  <si>
    <t>electric resistance</t>
  </si>
  <si>
    <t>ohm</t>
  </si>
  <si>
    <t>electric conductance</t>
  </si>
  <si>
    <t>siemens</t>
  </si>
  <si>
    <t>S</t>
  </si>
  <si>
    <t>magnetic flux</t>
  </si>
  <si>
    <t>weber</t>
  </si>
  <si>
    <t>Wb</t>
  </si>
  <si>
    <t>magnetic flux density</t>
  </si>
  <si>
    <t>tesla</t>
  </si>
  <si>
    <t>T</t>
  </si>
  <si>
    <t>inductance</t>
  </si>
  <si>
    <t>henry</t>
  </si>
  <si>
    <t>H</t>
  </si>
  <si>
    <t>Celsius temperature</t>
  </si>
  <si>
    <t>degree Celsius</t>
  </si>
  <si>
    <t>luminous flux</t>
  </si>
  <si>
    <t>lumen</t>
  </si>
  <si>
    <t>lm</t>
  </si>
  <si>
    <t>illuminance</t>
  </si>
  <si>
    <t>lux</t>
  </si>
  <si>
    <t>lx</t>
  </si>
  <si>
    <t>activity (of a radionuclide)</t>
  </si>
  <si>
    <t>becquerel</t>
  </si>
  <si>
    <t>Bq</t>
  </si>
  <si>
    <t>absorbed dose, specific energy (imparted), kerma</t>
  </si>
  <si>
    <t>gray</t>
  </si>
  <si>
    <t>Gy</t>
  </si>
  <si>
    <t>J/kg</t>
  </si>
  <si>
    <t>sievert</t>
  </si>
  <si>
    <t>Sv</t>
  </si>
  <si>
    <t>catalytic activity</t>
  </si>
  <si>
    <t>katal</t>
  </si>
  <si>
    <t>kat</t>
  </si>
  <si>
    <t>Omega</t>
  </si>
  <si>
    <t>dose equivalent (d)</t>
  </si>
  <si>
    <t>dynamic viscosity</t>
  </si>
  <si>
    <t>pascal second</t>
  </si>
  <si>
    <t>moment of force</t>
  </si>
  <si>
    <t>newton meter</t>
  </si>
  <si>
    <t>surface tension</t>
  </si>
  <si>
    <t>newton per meter</t>
  </si>
  <si>
    <t>N/m</t>
  </si>
  <si>
    <t>angular velocity</t>
  </si>
  <si>
    <t>radian per second</t>
  </si>
  <si>
    <t>rad/s</t>
  </si>
  <si>
    <t>angular acceleration</t>
  </si>
  <si>
    <t>radian per second squared</t>
  </si>
  <si>
    <t>heat flux density, irradiance</t>
  </si>
  <si>
    <t>watt per square meter</t>
  </si>
  <si>
    <t>heat capacity, entropy</t>
  </si>
  <si>
    <t>joule per kelvin</t>
  </si>
  <si>
    <t>J/K</t>
  </si>
  <si>
    <t>specific heat capacity, specific entropy</t>
  </si>
  <si>
    <t>joule per kilogram kelvin</t>
  </si>
  <si>
    <t>specific energy</t>
  </si>
  <si>
    <t>joule per kilogram</t>
  </si>
  <si>
    <t>thermal conductivity</t>
  </si>
  <si>
    <t>watt per meter kelvin</t>
  </si>
  <si>
    <t>energy density</t>
  </si>
  <si>
    <t>joule per cubic meter</t>
  </si>
  <si>
    <t>electric field strength</t>
  </si>
  <si>
    <t>volt per meter</t>
  </si>
  <si>
    <t>V/m</t>
  </si>
  <si>
    <t>electric charge density</t>
  </si>
  <si>
    <t>coulomb per cubic meter</t>
  </si>
  <si>
    <t>electric flux density</t>
  </si>
  <si>
    <t>coulomb per square meter</t>
  </si>
  <si>
    <t>permittivity</t>
  </si>
  <si>
    <t>farad per meter</t>
  </si>
  <si>
    <t>F/m</t>
  </si>
  <si>
    <t>permeability</t>
  </si>
  <si>
    <t>henry per meter</t>
  </si>
  <si>
    <t>H/m</t>
  </si>
  <si>
    <t>molar energy</t>
  </si>
  <si>
    <t>joule per mole</t>
  </si>
  <si>
    <t>J/mol</t>
  </si>
  <si>
    <t>molar entropy, molar heat capacity</t>
  </si>
  <si>
    <t>joule per mole kelvin</t>
  </si>
  <si>
    <t>coulomb per kilogram</t>
  </si>
  <si>
    <t>C/kg</t>
  </si>
  <si>
    <t>absorbed dose rate</t>
  </si>
  <si>
    <t>gray per second</t>
  </si>
  <si>
    <t>Gy/s</t>
  </si>
  <si>
    <t>radiant intensity</t>
  </si>
  <si>
    <t>watt per steradian</t>
  </si>
  <si>
    <t>W/sr</t>
  </si>
  <si>
    <t>radiance</t>
  </si>
  <si>
    <t>watt per square meter steradian</t>
  </si>
  <si>
    <t>catalytic (activity) concentration</t>
  </si>
  <si>
    <t>katal per cubic meter</t>
  </si>
  <si>
    <t>rad/s2</t>
  </si>
  <si>
    <t>W/m2</t>
  </si>
  <si>
    <t>J/m3</t>
  </si>
  <si>
    <t>C/m3</t>
  </si>
  <si>
    <t>C/m2</t>
  </si>
  <si>
    <t>exposure (x and gamma rays)</t>
  </si>
  <si>
    <t>kat/m3</t>
  </si>
  <si>
    <t>m3 per m3</t>
  </si>
  <si>
    <t>m3/m3</t>
  </si>
  <si>
    <t>sr</t>
  </si>
  <si>
    <t>kg/kg</t>
  </si>
  <si>
    <t>$m^2$'</t>
  </si>
  <si>
    <t>$m^3$'</t>
  </si>
  <si>
    <t>$\frac{m}{s}$'</t>
  </si>
  <si>
    <t>$\frac{m}{s^2}$'</t>
  </si>
  <si>
    <t>$m^-1$'</t>
  </si>
  <si>
    <t>$\frac{A}{m}$'</t>
  </si>
  <si>
    <t>$\frac{N}{m}$'</t>
  </si>
  <si>
    <t>$\frac{rad}{s}$'</t>
  </si>
  <si>
    <t>$\frac{J}{K}$'</t>
  </si>
  <si>
    <t>$\frac{kg}{m^3}$'</t>
  </si>
  <si>
    <t>$\frac{A}{m^2}$'</t>
  </si>
  <si>
    <t>$\frac{mol}{m^3}$'</t>
  </si>
  <si>
    <t>$\frac{cd}{m^2}$'</t>
  </si>
  <si>
    <t>$\frac{rad}{s^2}$'</t>
  </si>
  <si>
    <t>$\frac{W}{m^2}$'</t>
  </si>
  <si>
    <t>$\frac{m^3}{kg}$'</t>
  </si>
  <si>
    <t>Pa.s</t>
  </si>
  <si>
    <t>W/(m2.sr)</t>
  </si>
  <si>
    <t>J/(mol.K)</t>
  </si>
  <si>
    <t>W/(m.K)</t>
  </si>
  <si>
    <t>J/(kg.K)</t>
  </si>
  <si>
    <t>$\frac{J}{m^3}$'</t>
  </si>
  <si>
    <t>$\frac{C}{m^3}$'</t>
  </si>
  <si>
    <t>$\frac{C}{m^2}$'</t>
  </si>
  <si>
    <t>$Hz$'</t>
  </si>
  <si>
    <t>$Pa$'</t>
  </si>
  <si>
    <t>$J$'</t>
  </si>
  <si>
    <t>$W$'</t>
  </si>
  <si>
    <t>$C$'</t>
  </si>
  <si>
    <t>$V$'</t>
  </si>
  <si>
    <t>$F$'</t>
  </si>
  <si>
    <t>$S$'</t>
  </si>
  <si>
    <t>$Wb$'</t>
  </si>
  <si>
    <t>$T$'</t>
  </si>
  <si>
    <t>$H$'</t>
  </si>
  <si>
    <t>$lm$'</t>
  </si>
  <si>
    <t>$lx$'</t>
  </si>
  <si>
    <t>$Bq$'</t>
  </si>
  <si>
    <t>$Gy$'</t>
  </si>
  <si>
    <t>$Sv$'</t>
  </si>
  <si>
    <t>$kat$'</t>
  </si>
  <si>
    <t>$N$'</t>
  </si>
  <si>
    <t>$\Omega$'</t>
  </si>
  <si>
    <t>$\textdegree{}C$'</t>
  </si>
  <si>
    <t>$Pa \cdot s$'</t>
  </si>
  <si>
    <t>$N \cdot m$'</t>
  </si>
  <si>
    <t>$\frac{J}{kg \cdot K}$'</t>
  </si>
  <si>
    <t>$\frac{J}{kg}$'</t>
  </si>
  <si>
    <t>$\frac{W}{m \cdot K}$'</t>
  </si>
  <si>
    <t>degC</t>
  </si>
  <si>
    <t>N.m</t>
  </si>
  <si>
    <t>$m$'</t>
  </si>
  <si>
    <t>$kg$'</t>
  </si>
  <si>
    <t>$s$'</t>
  </si>
  <si>
    <t>$A$'</t>
  </si>
  <si>
    <t>$mol$'</t>
  </si>
  <si>
    <t>$cd$'</t>
  </si>
  <si>
    <t>$rad$'</t>
  </si>
  <si>
    <t>$sr$'</t>
  </si>
  <si>
    <t>$\frac{kg}{kg}$'</t>
  </si>
  <si>
    <t>dim-r</t>
  </si>
  <si>
    <t>kg per kg</t>
  </si>
  <si>
    <t>mass fraction composition</t>
  </si>
  <si>
    <t>volume fraction composition</t>
  </si>
  <si>
    <t>radian</t>
  </si>
  <si>
    <t>steradian</t>
  </si>
  <si>
    <t>$\frac{m^3}{m^3}$'</t>
  </si>
  <si>
    <t>$\frac{V}{M}$'</t>
  </si>
  <si>
    <t>$\frac{H}{m}$'</t>
  </si>
  <si>
    <t>$\frac{J}{mol}$'</t>
  </si>
  <si>
    <t>$\frac{F}{m}$'</t>
  </si>
  <si>
    <t>$\frac{C}{kg}$'</t>
  </si>
  <si>
    <t>$\frac{J}{mol \cdot K)}$'</t>
  </si>
  <si>
    <t>$\frac{Gy}{s}$'</t>
  </si>
  <si>
    <t>$\frac{W}{m^2 \cdot sr)}$'</t>
  </si>
  <si>
    <t>$\frac{kat}{m^3}$'</t>
  </si>
  <si>
    <t>$\frac{W}{m^ \cdot W/sr}$'</t>
  </si>
  <si>
    <t>deg</t>
  </si>
  <si>
    <t>degree angle</t>
  </si>
  <si>
    <t>t</t>
  </si>
  <si>
    <t>tonne</t>
  </si>
  <si>
    <t>$mm$'</t>
  </si>
  <si>
    <t>$cm$'</t>
  </si>
  <si>
    <t>$km$'</t>
  </si>
  <si>
    <t>$nm$'</t>
  </si>
  <si>
    <t>$pm$'</t>
  </si>
  <si>
    <t>$\mu m$'</t>
  </si>
  <si>
    <t>$gm$'</t>
  </si>
  <si>
    <t>$t$'</t>
  </si>
  <si>
    <t>degree Angle</t>
  </si>
  <si>
    <t>$\textdegree{}$'</t>
  </si>
  <si>
    <t>in</t>
  </si>
  <si>
    <t>inch</t>
  </si>
  <si>
    <t>$in$'</t>
  </si>
  <si>
    <t>ft</t>
  </si>
  <si>
    <t>foot</t>
  </si>
  <si>
    <t>mile</t>
  </si>
  <si>
    <t>in2</t>
  </si>
  <si>
    <t>ft2</t>
  </si>
  <si>
    <t>inch squared</t>
  </si>
  <si>
    <t>$in^2$'</t>
  </si>
  <si>
    <t>$mile$'</t>
  </si>
  <si>
    <t>$ft$'</t>
  </si>
  <si>
    <t>foot squared</t>
  </si>
  <si>
    <t>$ft^2$'</t>
  </si>
  <si>
    <t>measure</t>
  </si>
  <si>
    <t>kPa</t>
  </si>
  <si>
    <t>c_ratio</t>
  </si>
  <si>
    <t>c_logbase</t>
  </si>
  <si>
    <t>c_offset</t>
  </si>
  <si>
    <t>core</t>
  </si>
  <si>
    <t>isCore</t>
  </si>
  <si>
    <t>speed</t>
  </si>
  <si>
    <t>stress</t>
  </si>
  <si>
    <t>pressure</t>
  </si>
  <si>
    <t>energy</t>
  </si>
  <si>
    <t>power</t>
  </si>
  <si>
    <t>radiant flux</t>
  </si>
  <si>
    <t>electric charge</t>
  </si>
  <si>
    <t>electric potential difference</t>
  </si>
  <si>
    <t>absorbed dose</t>
  </si>
  <si>
    <t>specific energy (imparted)</t>
  </si>
  <si>
    <t>heat flux density</t>
  </si>
  <si>
    <t>irradiance</t>
  </si>
  <si>
    <t>heat capacity</t>
  </si>
  <si>
    <t>entropy</t>
  </si>
  <si>
    <t>specific heat capacity</t>
  </si>
  <si>
    <t>specific entropy</t>
  </si>
  <si>
    <t>molar heat capacity</t>
  </si>
  <si>
    <t>molar entropy</t>
  </si>
  <si>
    <t>mach number</t>
  </si>
  <si>
    <t>reynold's number</t>
  </si>
  <si>
    <t>dimension_type</t>
  </si>
  <si>
    <t>prefix</t>
  </si>
  <si>
    <t>Y</t>
  </si>
  <si>
    <t>Z</t>
  </si>
  <si>
    <t>E</t>
  </si>
  <si>
    <t>P</t>
  </si>
  <si>
    <t>G</t>
  </si>
  <si>
    <t>M</t>
  </si>
  <si>
    <t>h</t>
  </si>
  <si>
    <t>da</t>
  </si>
  <si>
    <t>d</t>
  </si>
  <si>
    <t>c</t>
  </si>
  <si>
    <t>µ</t>
  </si>
  <si>
    <t>n</t>
  </si>
  <si>
    <t>p</t>
  </si>
  <si>
    <t>f</t>
  </si>
  <si>
    <t>a</t>
  </si>
  <si>
    <t>z</t>
  </si>
  <si>
    <t>y</t>
  </si>
  <si>
    <t>yotta</t>
  </si>
  <si>
    <t>zetta</t>
  </si>
  <si>
    <t>exa</t>
  </si>
  <si>
    <t>peta</t>
  </si>
  <si>
    <t>tera</t>
  </si>
  <si>
    <t>giga</t>
  </si>
  <si>
    <t>mega</t>
  </si>
  <si>
    <t>kilo</t>
  </si>
  <si>
    <t>hecto</t>
  </si>
  <si>
    <t>deka</t>
  </si>
  <si>
    <t>deci</t>
  </si>
  <si>
    <t>centi</t>
  </si>
  <si>
    <t>milli</t>
  </si>
  <si>
    <t>micro</t>
  </si>
  <si>
    <t>nano</t>
  </si>
  <si>
    <t>pico</t>
  </si>
  <si>
    <t>femto</t>
  </si>
  <si>
    <t>atto</t>
  </si>
  <si>
    <t>zepto</t>
  </si>
  <si>
    <t>yocto</t>
  </si>
  <si>
    <t>prefix name</t>
  </si>
  <si>
    <t>power ten</t>
  </si>
  <si>
    <t>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</si>
</sst>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0000"/>
    <numFmt numFmtId="167" formatCode="0.000000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5BAC-015C-4DCE-AEDA-D3953FA269CD}">
  <sheetPr codeName="Sheet1"/>
  <dimension ref="A1:I12"/>
  <sheetViews>
    <sheetView workbookViewId="0">
      <selection activeCell="C1" sqref="C1"/>
    </sheetView>
  </sheetViews>
  <sheetFormatPr defaultRowHeight="15" x14ac:dyDescent="0.25"/>
  <cols>
    <col min="5" max="5" width="9.7109375" bestFit="1" customWidth="1"/>
    <col min="6" max="6" width="8.140625" bestFit="1" customWidth="1"/>
  </cols>
  <sheetData>
    <row r="1" spans="1:9" x14ac:dyDescent="0.25">
      <c r="A1" t="s">
        <v>0</v>
      </c>
      <c r="B1" t="s">
        <v>22</v>
      </c>
      <c r="C1" t="s">
        <v>339</v>
      </c>
      <c r="D1" t="s">
        <v>313</v>
      </c>
      <c r="E1" t="s">
        <v>314</v>
      </c>
      <c r="F1" t="s">
        <v>315</v>
      </c>
      <c r="G1" t="s">
        <v>317</v>
      </c>
      <c r="H1" t="s">
        <v>23</v>
      </c>
      <c r="I1" t="s">
        <v>338</v>
      </c>
    </row>
    <row r="2" spans="1:9" x14ac:dyDescent="0.25">
      <c r="A2" t="s">
        <v>8</v>
      </c>
      <c r="B2" t="s">
        <v>1</v>
      </c>
      <c r="D2">
        <v>1</v>
      </c>
      <c r="E2">
        <v>0</v>
      </c>
      <c r="F2">
        <v>0</v>
      </c>
      <c r="G2" t="b">
        <v>1</v>
      </c>
      <c r="H2" s="2" t="s">
        <v>257</v>
      </c>
      <c r="I2" t="s">
        <v>15</v>
      </c>
    </row>
    <row r="3" spans="1:9" x14ac:dyDescent="0.25">
      <c r="A3" t="s">
        <v>11</v>
      </c>
      <c r="B3" t="s">
        <v>2</v>
      </c>
      <c r="D3">
        <v>1</v>
      </c>
      <c r="E3">
        <v>0</v>
      </c>
      <c r="F3">
        <v>0</v>
      </c>
      <c r="G3" t="b">
        <v>1</v>
      </c>
      <c r="H3" s="2" t="s">
        <v>258</v>
      </c>
      <c r="I3" t="s">
        <v>16</v>
      </c>
    </row>
    <row r="4" spans="1:9" x14ac:dyDescent="0.25">
      <c r="A4" t="s">
        <v>10</v>
      </c>
      <c r="B4" t="s">
        <v>3</v>
      </c>
      <c r="D4">
        <v>1</v>
      </c>
      <c r="E4">
        <v>0</v>
      </c>
      <c r="F4">
        <v>0</v>
      </c>
      <c r="G4" t="b">
        <v>1</v>
      </c>
      <c r="H4" s="2" t="s">
        <v>259</v>
      </c>
      <c r="I4" t="s">
        <v>17</v>
      </c>
    </row>
    <row r="5" spans="1:9" x14ac:dyDescent="0.25">
      <c r="A5" t="s">
        <v>12</v>
      </c>
      <c r="B5" t="s">
        <v>4</v>
      </c>
      <c r="D5">
        <v>1</v>
      </c>
      <c r="E5">
        <v>0</v>
      </c>
      <c r="F5">
        <v>0</v>
      </c>
      <c r="G5" t="b">
        <v>1</v>
      </c>
      <c r="H5" s="2" t="s">
        <v>260</v>
      </c>
      <c r="I5" t="s">
        <v>18</v>
      </c>
    </row>
    <row r="6" spans="1:9" x14ac:dyDescent="0.25">
      <c r="A6" t="s">
        <v>9</v>
      </c>
      <c r="B6" t="s">
        <v>5</v>
      </c>
      <c r="D6">
        <v>1</v>
      </c>
      <c r="E6">
        <v>0</v>
      </c>
      <c r="F6">
        <v>0</v>
      </c>
      <c r="G6" t="b">
        <v>1</v>
      </c>
      <c r="H6" s="2" t="s">
        <v>258</v>
      </c>
      <c r="I6" t="s">
        <v>19</v>
      </c>
    </row>
    <row r="7" spans="1:9" x14ac:dyDescent="0.25">
      <c r="A7" t="s">
        <v>13</v>
      </c>
      <c r="B7" t="s">
        <v>6</v>
      </c>
      <c r="D7">
        <v>1</v>
      </c>
      <c r="E7">
        <v>0</v>
      </c>
      <c r="F7">
        <v>0</v>
      </c>
      <c r="G7" t="b">
        <v>1</v>
      </c>
      <c r="H7" s="2" t="s">
        <v>261</v>
      </c>
      <c r="I7" t="s">
        <v>20</v>
      </c>
    </row>
    <row r="8" spans="1:9" x14ac:dyDescent="0.25">
      <c r="A8" t="s">
        <v>14</v>
      </c>
      <c r="B8" t="s">
        <v>7</v>
      </c>
      <c r="D8">
        <v>1</v>
      </c>
      <c r="E8">
        <v>0</v>
      </c>
      <c r="F8">
        <v>0</v>
      </c>
      <c r="G8" t="b">
        <v>1</v>
      </c>
      <c r="H8" s="2" t="s">
        <v>262</v>
      </c>
      <c r="I8" t="s">
        <v>21</v>
      </c>
    </row>
    <row r="9" spans="1:9" x14ac:dyDescent="0.25">
      <c r="A9" t="s">
        <v>78</v>
      </c>
      <c r="B9" t="s">
        <v>270</v>
      </c>
      <c r="D9">
        <v>1</v>
      </c>
      <c r="E9">
        <v>0</v>
      </c>
      <c r="F9">
        <v>0</v>
      </c>
      <c r="G9" t="b">
        <v>1</v>
      </c>
      <c r="H9" s="2" t="s">
        <v>263</v>
      </c>
      <c r="I9" t="s">
        <v>77</v>
      </c>
    </row>
    <row r="10" spans="1:9" x14ac:dyDescent="0.25">
      <c r="A10" t="s">
        <v>204</v>
      </c>
      <c r="B10" t="s">
        <v>271</v>
      </c>
      <c r="D10">
        <v>1</v>
      </c>
      <c r="E10">
        <v>0</v>
      </c>
      <c r="F10">
        <v>0</v>
      </c>
      <c r="G10" t="b">
        <v>1</v>
      </c>
      <c r="H10" s="2" t="s">
        <v>264</v>
      </c>
      <c r="I10" t="s">
        <v>79</v>
      </c>
    </row>
    <row r="11" spans="1:9" x14ac:dyDescent="0.25">
      <c r="A11" t="s">
        <v>205</v>
      </c>
      <c r="B11" t="s">
        <v>267</v>
      </c>
      <c r="D11">
        <v>1</v>
      </c>
      <c r="E11">
        <v>0</v>
      </c>
      <c r="F11">
        <v>0</v>
      </c>
      <c r="G11" t="b">
        <v>1</v>
      </c>
      <c r="H11" s="2" t="s">
        <v>265</v>
      </c>
      <c r="I11" t="s">
        <v>268</v>
      </c>
    </row>
    <row r="12" spans="1:9" x14ac:dyDescent="0.25">
      <c r="A12" t="s">
        <v>203</v>
      </c>
      <c r="B12" t="s">
        <v>202</v>
      </c>
      <c r="D12">
        <v>1</v>
      </c>
      <c r="E12">
        <v>0</v>
      </c>
      <c r="F12">
        <v>0</v>
      </c>
      <c r="G12" t="b">
        <v>1</v>
      </c>
      <c r="H12" s="2" t="s">
        <v>272</v>
      </c>
      <c r="I12" t="s">
        <v>269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84986-2BAB-4FCD-8071-F8E2DC154E99}">
  <sheetPr codeName="Sheet2"/>
  <dimension ref="A1:I55"/>
  <sheetViews>
    <sheetView workbookViewId="0">
      <selection activeCell="E7" sqref="E7"/>
    </sheetView>
  </sheetViews>
  <sheetFormatPr defaultRowHeight="15" x14ac:dyDescent="0.25"/>
  <cols>
    <col min="2" max="2" width="26.42578125" bestFit="1" customWidth="1"/>
    <col min="3" max="3" width="6.28515625" bestFit="1" customWidth="1"/>
    <col min="8" max="8" width="18.85546875" bestFit="1" customWidth="1"/>
    <col min="9" max="9" width="46" bestFit="1" customWidth="1"/>
  </cols>
  <sheetData>
    <row r="1" spans="1:9" x14ac:dyDescent="0.25">
      <c r="A1" t="s">
        <v>0</v>
      </c>
      <c r="B1" t="s">
        <v>22</v>
      </c>
      <c r="C1" t="s">
        <v>339</v>
      </c>
      <c r="D1" t="s">
        <v>313</v>
      </c>
      <c r="E1" t="s">
        <v>314</v>
      </c>
      <c r="F1" t="s">
        <v>315</v>
      </c>
      <c r="G1" t="s">
        <v>317</v>
      </c>
      <c r="H1" t="s">
        <v>23</v>
      </c>
      <c r="I1" t="s">
        <v>338</v>
      </c>
    </row>
    <row r="2" spans="1:9" x14ac:dyDescent="0.25">
      <c r="A2" t="s">
        <v>68</v>
      </c>
      <c r="B2" t="s">
        <v>46</v>
      </c>
      <c r="D2" s="1">
        <v>1</v>
      </c>
      <c r="E2">
        <v>0</v>
      </c>
      <c r="F2">
        <v>0</v>
      </c>
      <c r="G2" t="b">
        <v>1</v>
      </c>
      <c r="H2" s="2" t="s">
        <v>206</v>
      </c>
      <c r="I2" s="4" t="s">
        <v>45</v>
      </c>
    </row>
    <row r="3" spans="1:9" x14ac:dyDescent="0.25">
      <c r="A3" t="s">
        <v>69</v>
      </c>
      <c r="B3" t="s">
        <v>48</v>
      </c>
      <c r="D3" s="1">
        <v>1</v>
      </c>
      <c r="E3">
        <v>0</v>
      </c>
      <c r="F3">
        <v>0</v>
      </c>
      <c r="G3" t="b">
        <v>1</v>
      </c>
      <c r="H3" s="2" t="s">
        <v>207</v>
      </c>
      <c r="I3" s="4" t="s">
        <v>47</v>
      </c>
    </row>
    <row r="4" spans="1:9" x14ac:dyDescent="0.25">
      <c r="A4" t="s">
        <v>50</v>
      </c>
      <c r="B4" t="s">
        <v>49</v>
      </c>
      <c r="D4" s="1">
        <v>1</v>
      </c>
      <c r="E4">
        <v>0</v>
      </c>
      <c r="F4">
        <v>0</v>
      </c>
      <c r="G4" t="b">
        <v>1</v>
      </c>
      <c r="H4" s="2" t="s">
        <v>208</v>
      </c>
      <c r="I4" s="4" t="s">
        <v>318</v>
      </c>
    </row>
    <row r="5" spans="1:9" x14ac:dyDescent="0.25">
      <c r="A5" t="s">
        <v>70</v>
      </c>
      <c r="B5" t="s">
        <v>52</v>
      </c>
      <c r="D5" s="1">
        <v>1</v>
      </c>
      <c r="E5">
        <v>0</v>
      </c>
      <c r="F5">
        <v>0</v>
      </c>
      <c r="G5" t="b">
        <v>1</v>
      </c>
      <c r="H5" s="2" t="s">
        <v>209</v>
      </c>
      <c r="I5" s="4" t="s">
        <v>51</v>
      </c>
    </row>
    <row r="6" spans="1:9" x14ac:dyDescent="0.25">
      <c r="A6" t="s">
        <v>71</v>
      </c>
      <c r="B6" t="s">
        <v>54</v>
      </c>
      <c r="D6" s="1">
        <v>1</v>
      </c>
      <c r="E6">
        <v>0</v>
      </c>
      <c r="F6">
        <v>0</v>
      </c>
      <c r="G6" t="b">
        <v>1</v>
      </c>
      <c r="H6" s="2" t="s">
        <v>210</v>
      </c>
      <c r="I6" s="4" t="s">
        <v>53</v>
      </c>
    </row>
    <row r="7" spans="1:9" x14ac:dyDescent="0.25">
      <c r="A7" t="s">
        <v>72</v>
      </c>
      <c r="B7" t="s">
        <v>56</v>
      </c>
      <c r="D7" s="1">
        <v>1</v>
      </c>
      <c r="E7">
        <v>0</v>
      </c>
      <c r="F7">
        <v>0</v>
      </c>
      <c r="G7" t="b">
        <v>1</v>
      </c>
      <c r="H7" s="2" t="s">
        <v>215</v>
      </c>
      <c r="I7" s="4" t="s">
        <v>55</v>
      </c>
    </row>
    <row r="8" spans="1:9" x14ac:dyDescent="0.25">
      <c r="A8" t="s">
        <v>73</v>
      </c>
      <c r="B8" t="s">
        <v>58</v>
      </c>
      <c r="D8" s="1">
        <v>1</v>
      </c>
      <c r="E8">
        <v>0</v>
      </c>
      <c r="F8">
        <v>0</v>
      </c>
      <c r="G8" t="b">
        <v>1</v>
      </c>
      <c r="H8" s="2" t="s">
        <v>221</v>
      </c>
      <c r="I8" s="4" t="s">
        <v>57</v>
      </c>
    </row>
    <row r="9" spans="1:9" x14ac:dyDescent="0.25">
      <c r="A9" t="s">
        <v>74</v>
      </c>
      <c r="B9" t="s">
        <v>60</v>
      </c>
      <c r="D9" s="1">
        <v>1</v>
      </c>
      <c r="E9">
        <v>0</v>
      </c>
      <c r="F9">
        <v>0</v>
      </c>
      <c r="G9" t="b">
        <v>1</v>
      </c>
      <c r="H9" s="2" t="s">
        <v>216</v>
      </c>
      <c r="I9" s="4" t="s">
        <v>59</v>
      </c>
    </row>
    <row r="10" spans="1:9" x14ac:dyDescent="0.25">
      <c r="A10" t="s">
        <v>63</v>
      </c>
      <c r="B10" t="s">
        <v>62</v>
      </c>
      <c r="D10" s="1">
        <v>1</v>
      </c>
      <c r="E10">
        <v>0</v>
      </c>
      <c r="F10">
        <v>0</v>
      </c>
      <c r="G10" t="b">
        <v>1</v>
      </c>
      <c r="H10" s="2" t="s">
        <v>211</v>
      </c>
      <c r="I10" s="4" t="s">
        <v>61</v>
      </c>
    </row>
    <row r="11" spans="1:9" x14ac:dyDescent="0.25">
      <c r="A11" t="s">
        <v>75</v>
      </c>
      <c r="B11" t="s">
        <v>65</v>
      </c>
      <c r="D11" s="1">
        <v>1</v>
      </c>
      <c r="E11">
        <v>0</v>
      </c>
      <c r="F11">
        <v>0</v>
      </c>
      <c r="G11" t="b">
        <v>1</v>
      </c>
      <c r="H11" s="2" t="s">
        <v>217</v>
      </c>
      <c r="I11" s="4" t="s">
        <v>64</v>
      </c>
    </row>
    <row r="12" spans="1:9" x14ac:dyDescent="0.25">
      <c r="A12" t="s">
        <v>76</v>
      </c>
      <c r="B12" t="s">
        <v>67</v>
      </c>
      <c r="D12" s="1">
        <v>1</v>
      </c>
      <c r="E12">
        <v>0</v>
      </c>
      <c r="F12">
        <v>0</v>
      </c>
      <c r="G12" t="b">
        <v>1</v>
      </c>
      <c r="H12" s="2" t="s">
        <v>218</v>
      </c>
      <c r="I12" s="4" t="s">
        <v>66</v>
      </c>
    </row>
    <row r="13" spans="1:9" x14ac:dyDescent="0.25">
      <c r="A13" t="s">
        <v>82</v>
      </c>
      <c r="B13" t="s">
        <v>81</v>
      </c>
      <c r="D13" s="1">
        <v>1</v>
      </c>
      <c r="E13">
        <v>0</v>
      </c>
      <c r="F13">
        <v>0</v>
      </c>
      <c r="G13" t="b">
        <v>1</v>
      </c>
      <c r="H13" s="2" t="s">
        <v>230</v>
      </c>
      <c r="I13" s="4" t="s">
        <v>80</v>
      </c>
    </row>
    <row r="14" spans="1:9" x14ac:dyDescent="0.25">
      <c r="A14" t="s">
        <v>85</v>
      </c>
      <c r="B14" t="s">
        <v>84</v>
      </c>
      <c r="D14" s="1">
        <v>1</v>
      </c>
      <c r="E14">
        <v>0</v>
      </c>
      <c r="F14">
        <v>0</v>
      </c>
      <c r="G14" t="b">
        <v>1</v>
      </c>
      <c r="H14" s="2" t="s">
        <v>247</v>
      </c>
      <c r="I14" s="4" t="s">
        <v>83</v>
      </c>
    </row>
    <row r="15" spans="1:9" x14ac:dyDescent="0.25">
      <c r="A15" t="s">
        <v>88</v>
      </c>
      <c r="B15" t="s">
        <v>87</v>
      </c>
      <c r="D15" s="1">
        <v>1</v>
      </c>
      <c r="E15">
        <v>0</v>
      </c>
      <c r="F15">
        <v>0</v>
      </c>
      <c r="G15" t="b">
        <v>1</v>
      </c>
      <c r="H15" s="2" t="s">
        <v>231</v>
      </c>
      <c r="I15" s="4" t="s">
        <v>86</v>
      </c>
    </row>
    <row r="16" spans="1:9" x14ac:dyDescent="0.25">
      <c r="A16" t="s">
        <v>91</v>
      </c>
      <c r="B16" t="s">
        <v>90</v>
      </c>
      <c r="D16" s="1">
        <v>1</v>
      </c>
      <c r="E16">
        <v>0</v>
      </c>
      <c r="F16">
        <v>0</v>
      </c>
      <c r="G16" t="b">
        <v>1</v>
      </c>
      <c r="H16" s="2" t="s">
        <v>232</v>
      </c>
      <c r="I16" s="4" t="s">
        <v>89</v>
      </c>
    </row>
    <row r="17" spans="1:9" x14ac:dyDescent="0.25">
      <c r="A17" t="s">
        <v>94</v>
      </c>
      <c r="B17" t="s">
        <v>93</v>
      </c>
      <c r="D17" s="1">
        <v>1</v>
      </c>
      <c r="E17">
        <v>0</v>
      </c>
      <c r="F17">
        <v>0</v>
      </c>
      <c r="G17" t="b">
        <v>1</v>
      </c>
      <c r="H17" s="2" t="s">
        <v>233</v>
      </c>
      <c r="I17" s="4" t="s">
        <v>92</v>
      </c>
    </row>
    <row r="18" spans="1:9" x14ac:dyDescent="0.25">
      <c r="A18" t="s">
        <v>97</v>
      </c>
      <c r="B18" t="s">
        <v>96</v>
      </c>
      <c r="D18" s="1">
        <v>1</v>
      </c>
      <c r="E18">
        <v>0</v>
      </c>
      <c r="F18">
        <v>0</v>
      </c>
      <c r="G18" t="b">
        <v>1</v>
      </c>
      <c r="H18" s="2" t="s">
        <v>234</v>
      </c>
      <c r="I18" s="4" t="s">
        <v>95</v>
      </c>
    </row>
    <row r="19" spans="1:9" x14ac:dyDescent="0.25">
      <c r="A19" t="s">
        <v>100</v>
      </c>
      <c r="B19" t="s">
        <v>99</v>
      </c>
      <c r="D19" s="1">
        <v>1</v>
      </c>
      <c r="E19">
        <v>0</v>
      </c>
      <c r="F19">
        <v>0</v>
      </c>
      <c r="G19" t="b">
        <v>1</v>
      </c>
      <c r="H19" s="2" t="s">
        <v>235</v>
      </c>
      <c r="I19" s="4" t="s">
        <v>98</v>
      </c>
    </row>
    <row r="20" spans="1:9" x14ac:dyDescent="0.25">
      <c r="A20" t="s">
        <v>103</v>
      </c>
      <c r="B20" t="s">
        <v>102</v>
      </c>
      <c r="D20" s="1">
        <v>1</v>
      </c>
      <c r="E20">
        <v>0</v>
      </c>
      <c r="F20">
        <v>0</v>
      </c>
      <c r="G20" t="b">
        <v>1</v>
      </c>
      <c r="H20" s="2" t="s">
        <v>236</v>
      </c>
      <c r="I20" s="4" t="s">
        <v>101</v>
      </c>
    </row>
    <row r="21" spans="1:9" x14ac:dyDescent="0.25">
      <c r="A21" t="s">
        <v>138</v>
      </c>
      <c r="B21" t="s">
        <v>105</v>
      </c>
      <c r="D21" s="1">
        <v>1</v>
      </c>
      <c r="E21">
        <v>0</v>
      </c>
      <c r="F21">
        <v>0</v>
      </c>
      <c r="G21" t="b">
        <v>1</v>
      </c>
      <c r="H21" s="2" t="s">
        <v>248</v>
      </c>
      <c r="I21" s="4" t="s">
        <v>104</v>
      </c>
    </row>
    <row r="22" spans="1:9" x14ac:dyDescent="0.25">
      <c r="A22" t="s">
        <v>108</v>
      </c>
      <c r="B22" t="s">
        <v>107</v>
      </c>
      <c r="D22" s="1">
        <v>1</v>
      </c>
      <c r="E22">
        <v>0</v>
      </c>
      <c r="F22">
        <v>0</v>
      </c>
      <c r="G22" t="b">
        <v>1</v>
      </c>
      <c r="H22" s="2" t="s">
        <v>237</v>
      </c>
      <c r="I22" s="4" t="s">
        <v>106</v>
      </c>
    </row>
    <row r="23" spans="1:9" x14ac:dyDescent="0.25">
      <c r="A23" t="s">
        <v>111</v>
      </c>
      <c r="B23" t="s">
        <v>110</v>
      </c>
      <c r="D23" s="1">
        <v>1</v>
      </c>
      <c r="E23">
        <v>0</v>
      </c>
      <c r="F23">
        <v>0</v>
      </c>
      <c r="G23" t="b">
        <v>1</v>
      </c>
      <c r="H23" s="2" t="s">
        <v>238</v>
      </c>
      <c r="I23" s="4" t="s">
        <v>109</v>
      </c>
    </row>
    <row r="24" spans="1:9" x14ac:dyDescent="0.25">
      <c r="A24" t="s">
        <v>114</v>
      </c>
      <c r="B24" t="s">
        <v>113</v>
      </c>
      <c r="D24" s="1">
        <v>1</v>
      </c>
      <c r="E24">
        <v>0</v>
      </c>
      <c r="F24">
        <v>0</v>
      </c>
      <c r="G24" t="b">
        <v>1</v>
      </c>
      <c r="H24" s="2" t="s">
        <v>239</v>
      </c>
      <c r="I24" s="4" t="s">
        <v>112</v>
      </c>
    </row>
    <row r="25" spans="1:9" x14ac:dyDescent="0.25">
      <c r="A25" t="s">
        <v>117</v>
      </c>
      <c r="B25" t="s">
        <v>116</v>
      </c>
      <c r="D25" s="1">
        <v>1</v>
      </c>
      <c r="E25">
        <v>0</v>
      </c>
      <c r="F25">
        <v>0</v>
      </c>
      <c r="G25" t="b">
        <v>1</v>
      </c>
      <c r="H25" s="2" t="s">
        <v>240</v>
      </c>
      <c r="I25" s="4" t="s">
        <v>115</v>
      </c>
    </row>
    <row r="26" spans="1:9" x14ac:dyDescent="0.25">
      <c r="A26" t="s">
        <v>255</v>
      </c>
      <c r="B26" t="s">
        <v>119</v>
      </c>
      <c r="D26" s="1">
        <v>1</v>
      </c>
      <c r="E26">
        <v>0</v>
      </c>
      <c r="F26">
        <v>273.14999999999998</v>
      </c>
      <c r="G26" t="b">
        <v>1</v>
      </c>
      <c r="H26" s="2" t="s">
        <v>249</v>
      </c>
      <c r="I26" s="4" t="s">
        <v>118</v>
      </c>
    </row>
    <row r="27" spans="1:9" x14ac:dyDescent="0.25">
      <c r="A27" t="s">
        <v>122</v>
      </c>
      <c r="B27" t="s">
        <v>121</v>
      </c>
      <c r="D27" s="1">
        <v>1</v>
      </c>
      <c r="E27">
        <v>0</v>
      </c>
      <c r="F27">
        <v>0</v>
      </c>
      <c r="G27" t="b">
        <v>1</v>
      </c>
      <c r="H27" s="2" t="s">
        <v>241</v>
      </c>
      <c r="I27" s="4" t="s">
        <v>120</v>
      </c>
    </row>
    <row r="28" spans="1:9" x14ac:dyDescent="0.25">
      <c r="A28" t="s">
        <v>125</v>
      </c>
      <c r="B28" t="s">
        <v>124</v>
      </c>
      <c r="D28" s="1">
        <v>1</v>
      </c>
      <c r="E28">
        <v>0</v>
      </c>
      <c r="F28">
        <v>0</v>
      </c>
      <c r="G28" t="b">
        <v>1</v>
      </c>
      <c r="H28" s="2" t="s">
        <v>242</v>
      </c>
      <c r="I28" s="4" t="s">
        <v>123</v>
      </c>
    </row>
    <row r="29" spans="1:9" x14ac:dyDescent="0.25">
      <c r="A29" t="s">
        <v>128</v>
      </c>
      <c r="B29" t="s">
        <v>127</v>
      </c>
      <c r="D29" s="1">
        <v>1</v>
      </c>
      <c r="E29">
        <v>0</v>
      </c>
      <c r="F29">
        <v>0</v>
      </c>
      <c r="G29" t="b">
        <v>1</v>
      </c>
      <c r="H29" s="2" t="s">
        <v>243</v>
      </c>
      <c r="I29" s="4" t="s">
        <v>126</v>
      </c>
    </row>
    <row r="30" spans="1:9" x14ac:dyDescent="0.25">
      <c r="A30" t="s">
        <v>131</v>
      </c>
      <c r="B30" t="s">
        <v>130</v>
      </c>
      <c r="D30" s="1">
        <v>1</v>
      </c>
      <c r="E30">
        <v>0</v>
      </c>
      <c r="F30">
        <v>0</v>
      </c>
      <c r="G30" t="b">
        <v>1</v>
      </c>
      <c r="H30" s="2" t="s">
        <v>244</v>
      </c>
      <c r="I30" s="4" t="s">
        <v>129</v>
      </c>
    </row>
    <row r="31" spans="1:9" x14ac:dyDescent="0.25">
      <c r="A31" t="s">
        <v>134</v>
      </c>
      <c r="B31" t="s">
        <v>133</v>
      </c>
      <c r="D31" s="1">
        <v>1</v>
      </c>
      <c r="E31">
        <v>0</v>
      </c>
      <c r="F31">
        <v>0</v>
      </c>
      <c r="G31" t="b">
        <v>1</v>
      </c>
      <c r="H31" s="2" t="s">
        <v>245</v>
      </c>
      <c r="I31" s="4" t="s">
        <v>139</v>
      </c>
    </row>
    <row r="32" spans="1:9" x14ac:dyDescent="0.25">
      <c r="A32" t="s">
        <v>137</v>
      </c>
      <c r="B32" t="s">
        <v>136</v>
      </c>
      <c r="D32" s="1">
        <v>1</v>
      </c>
      <c r="E32">
        <v>0</v>
      </c>
      <c r="F32">
        <v>0</v>
      </c>
      <c r="G32" t="b">
        <v>1</v>
      </c>
      <c r="H32" s="2" t="s">
        <v>246</v>
      </c>
      <c r="I32" s="4" t="s">
        <v>135</v>
      </c>
    </row>
    <row r="33" spans="1:9" x14ac:dyDescent="0.25">
      <c r="A33" t="s">
        <v>222</v>
      </c>
      <c r="B33" t="s">
        <v>141</v>
      </c>
      <c r="D33" s="1">
        <v>1</v>
      </c>
      <c r="E33">
        <v>0</v>
      </c>
      <c r="F33">
        <v>0</v>
      </c>
      <c r="G33" t="b">
        <v>1</v>
      </c>
      <c r="H33" s="2" t="s">
        <v>250</v>
      </c>
      <c r="I33" s="4" t="s">
        <v>140</v>
      </c>
    </row>
    <row r="34" spans="1:9" x14ac:dyDescent="0.25">
      <c r="A34" t="s">
        <v>256</v>
      </c>
      <c r="B34" t="s">
        <v>143</v>
      </c>
      <c r="D34" s="1">
        <v>1</v>
      </c>
      <c r="E34">
        <v>0</v>
      </c>
      <c r="F34">
        <v>0</v>
      </c>
      <c r="G34" t="b">
        <v>1</v>
      </c>
      <c r="H34" s="2" t="s">
        <v>251</v>
      </c>
      <c r="I34" s="4" t="s">
        <v>142</v>
      </c>
    </row>
    <row r="35" spans="1:9" x14ac:dyDescent="0.25">
      <c r="A35" t="s">
        <v>146</v>
      </c>
      <c r="B35" t="s">
        <v>145</v>
      </c>
      <c r="D35" s="1">
        <v>1</v>
      </c>
      <c r="E35">
        <v>0</v>
      </c>
      <c r="F35">
        <v>0</v>
      </c>
      <c r="G35" t="b">
        <v>1</v>
      </c>
      <c r="H35" s="2" t="s">
        <v>212</v>
      </c>
      <c r="I35" s="4" t="s">
        <v>144</v>
      </c>
    </row>
    <row r="36" spans="1:9" x14ac:dyDescent="0.25">
      <c r="A36" t="s">
        <v>149</v>
      </c>
      <c r="B36" t="s">
        <v>148</v>
      </c>
      <c r="D36" s="1">
        <v>1</v>
      </c>
      <c r="E36">
        <v>0</v>
      </c>
      <c r="F36">
        <v>0</v>
      </c>
      <c r="G36" t="b">
        <v>1</v>
      </c>
      <c r="H36" s="2" t="s">
        <v>213</v>
      </c>
      <c r="I36" s="4" t="s">
        <v>147</v>
      </c>
    </row>
    <row r="37" spans="1:9" x14ac:dyDescent="0.25">
      <c r="A37" t="s">
        <v>195</v>
      </c>
      <c r="B37" t="s">
        <v>151</v>
      </c>
      <c r="D37" s="1">
        <v>1</v>
      </c>
      <c r="E37">
        <v>0</v>
      </c>
      <c r="F37">
        <v>0</v>
      </c>
      <c r="G37" t="b">
        <v>1</v>
      </c>
      <c r="H37" s="2" t="s">
        <v>219</v>
      </c>
      <c r="I37" s="4" t="s">
        <v>150</v>
      </c>
    </row>
    <row r="38" spans="1:9" x14ac:dyDescent="0.25">
      <c r="A38" t="s">
        <v>196</v>
      </c>
      <c r="B38" t="s">
        <v>153</v>
      </c>
      <c r="D38" s="1">
        <v>1</v>
      </c>
      <c r="E38">
        <v>0</v>
      </c>
      <c r="F38">
        <v>0</v>
      </c>
      <c r="G38" t="b">
        <v>1</v>
      </c>
      <c r="H38" s="2" t="s">
        <v>220</v>
      </c>
      <c r="I38" s="4" t="s">
        <v>152</v>
      </c>
    </row>
    <row r="39" spans="1:9" x14ac:dyDescent="0.25">
      <c r="A39" t="s">
        <v>156</v>
      </c>
      <c r="B39" t="s">
        <v>155</v>
      </c>
      <c r="D39" s="1">
        <v>1</v>
      </c>
      <c r="E39">
        <v>0</v>
      </c>
      <c r="F39">
        <v>0</v>
      </c>
      <c r="G39" t="b">
        <v>1</v>
      </c>
      <c r="H39" s="2" t="s">
        <v>214</v>
      </c>
      <c r="I39" s="4" t="s">
        <v>154</v>
      </c>
    </row>
    <row r="40" spans="1:9" x14ac:dyDescent="0.25">
      <c r="A40" t="s">
        <v>226</v>
      </c>
      <c r="B40" t="s">
        <v>158</v>
      </c>
      <c r="D40" s="1">
        <v>1</v>
      </c>
      <c r="E40">
        <v>0</v>
      </c>
      <c r="F40">
        <v>0</v>
      </c>
      <c r="G40" t="b">
        <v>1</v>
      </c>
      <c r="H40" s="2" t="s">
        <v>252</v>
      </c>
      <c r="I40" s="4" t="s">
        <v>157</v>
      </c>
    </row>
    <row r="41" spans="1:9" x14ac:dyDescent="0.25">
      <c r="A41" t="s">
        <v>132</v>
      </c>
      <c r="B41" t="s">
        <v>160</v>
      </c>
      <c r="D41" s="1">
        <v>1</v>
      </c>
      <c r="E41">
        <v>0</v>
      </c>
      <c r="F41">
        <v>0</v>
      </c>
      <c r="G41" t="b">
        <v>1</v>
      </c>
      <c r="H41" s="2" t="s">
        <v>253</v>
      </c>
      <c r="I41" s="4" t="s">
        <v>159</v>
      </c>
    </row>
    <row r="42" spans="1:9" x14ac:dyDescent="0.25">
      <c r="A42" t="s">
        <v>225</v>
      </c>
      <c r="B42" t="s">
        <v>162</v>
      </c>
      <c r="D42" s="1">
        <v>1</v>
      </c>
      <c r="E42">
        <v>0</v>
      </c>
      <c r="F42">
        <v>0</v>
      </c>
      <c r="G42" t="b">
        <v>1</v>
      </c>
      <c r="H42" s="2" t="s">
        <v>254</v>
      </c>
      <c r="I42" s="4" t="s">
        <v>161</v>
      </c>
    </row>
    <row r="43" spans="1:9" x14ac:dyDescent="0.25">
      <c r="A43" t="s">
        <v>197</v>
      </c>
      <c r="B43" t="s">
        <v>164</v>
      </c>
      <c r="D43" s="1">
        <v>1</v>
      </c>
      <c r="E43">
        <v>0</v>
      </c>
      <c r="F43">
        <v>0</v>
      </c>
      <c r="G43" t="b">
        <v>1</v>
      </c>
      <c r="H43" s="2" t="s">
        <v>227</v>
      </c>
      <c r="I43" s="4" t="s">
        <v>163</v>
      </c>
    </row>
    <row r="44" spans="1:9" x14ac:dyDescent="0.25">
      <c r="A44" t="s">
        <v>167</v>
      </c>
      <c r="B44" t="s">
        <v>166</v>
      </c>
      <c r="D44" s="1">
        <v>1</v>
      </c>
      <c r="E44">
        <v>0</v>
      </c>
      <c r="F44">
        <v>0</v>
      </c>
      <c r="G44" t="b">
        <v>1</v>
      </c>
      <c r="H44" s="2" t="s">
        <v>273</v>
      </c>
      <c r="I44" s="4" t="s">
        <v>165</v>
      </c>
    </row>
    <row r="45" spans="1:9" x14ac:dyDescent="0.25">
      <c r="A45" t="s">
        <v>198</v>
      </c>
      <c r="B45" t="s">
        <v>169</v>
      </c>
      <c r="D45" s="1">
        <v>1</v>
      </c>
      <c r="E45">
        <v>0</v>
      </c>
      <c r="F45">
        <v>0</v>
      </c>
      <c r="G45" t="b">
        <v>1</v>
      </c>
      <c r="H45" s="2" t="s">
        <v>228</v>
      </c>
      <c r="I45" s="4" t="s">
        <v>168</v>
      </c>
    </row>
    <row r="46" spans="1:9" x14ac:dyDescent="0.25">
      <c r="A46" t="s">
        <v>199</v>
      </c>
      <c r="B46" t="s">
        <v>171</v>
      </c>
      <c r="D46" s="1">
        <v>1</v>
      </c>
      <c r="E46">
        <v>0</v>
      </c>
      <c r="F46">
        <v>0</v>
      </c>
      <c r="G46" t="b">
        <v>1</v>
      </c>
      <c r="H46" s="2" t="s">
        <v>229</v>
      </c>
      <c r="I46" s="4" t="s">
        <v>170</v>
      </c>
    </row>
    <row r="47" spans="1:9" x14ac:dyDescent="0.25">
      <c r="A47" t="s">
        <v>174</v>
      </c>
      <c r="B47" t="s">
        <v>173</v>
      </c>
      <c r="D47" s="1">
        <v>1</v>
      </c>
      <c r="E47">
        <v>0</v>
      </c>
      <c r="F47">
        <v>0</v>
      </c>
      <c r="G47" t="b">
        <v>1</v>
      </c>
      <c r="H47" s="2" t="s">
        <v>276</v>
      </c>
      <c r="I47" s="4" t="s">
        <v>172</v>
      </c>
    </row>
    <row r="48" spans="1:9" x14ac:dyDescent="0.25">
      <c r="A48" t="s">
        <v>177</v>
      </c>
      <c r="B48" t="s">
        <v>176</v>
      </c>
      <c r="D48" s="1">
        <v>1</v>
      </c>
      <c r="E48">
        <v>0</v>
      </c>
      <c r="F48">
        <v>0</v>
      </c>
      <c r="G48" t="b">
        <v>1</v>
      </c>
      <c r="H48" s="2" t="s">
        <v>274</v>
      </c>
      <c r="I48" s="4" t="s">
        <v>175</v>
      </c>
    </row>
    <row r="49" spans="1:9" x14ac:dyDescent="0.25">
      <c r="A49" t="s">
        <v>180</v>
      </c>
      <c r="B49" t="s">
        <v>179</v>
      </c>
      <c r="D49" s="1">
        <v>1</v>
      </c>
      <c r="E49">
        <v>0</v>
      </c>
      <c r="F49">
        <v>0</v>
      </c>
      <c r="G49" t="b">
        <v>1</v>
      </c>
      <c r="H49" s="2" t="s">
        <v>275</v>
      </c>
      <c r="I49" s="4" t="s">
        <v>178</v>
      </c>
    </row>
    <row r="50" spans="1:9" x14ac:dyDescent="0.25">
      <c r="A50" t="s">
        <v>224</v>
      </c>
      <c r="B50" t="s">
        <v>182</v>
      </c>
      <c r="D50" s="1">
        <v>1</v>
      </c>
      <c r="E50">
        <v>0</v>
      </c>
      <c r="F50">
        <v>0</v>
      </c>
      <c r="G50" t="b">
        <v>1</v>
      </c>
      <c r="H50" s="2" t="s">
        <v>278</v>
      </c>
      <c r="I50" s="4" t="s">
        <v>181</v>
      </c>
    </row>
    <row r="51" spans="1:9" x14ac:dyDescent="0.25">
      <c r="A51" t="s">
        <v>184</v>
      </c>
      <c r="B51" t="s">
        <v>183</v>
      </c>
      <c r="D51" s="1">
        <v>1</v>
      </c>
      <c r="E51">
        <v>0</v>
      </c>
      <c r="F51">
        <v>0</v>
      </c>
      <c r="G51" t="b">
        <v>1</v>
      </c>
      <c r="H51" s="2" t="s">
        <v>277</v>
      </c>
      <c r="I51" s="4" t="s">
        <v>200</v>
      </c>
    </row>
    <row r="52" spans="1:9" x14ac:dyDescent="0.25">
      <c r="A52" t="s">
        <v>187</v>
      </c>
      <c r="B52" t="s">
        <v>186</v>
      </c>
      <c r="D52" s="1">
        <v>1</v>
      </c>
      <c r="E52">
        <v>0</v>
      </c>
      <c r="F52">
        <v>0</v>
      </c>
      <c r="G52" t="b">
        <v>1</v>
      </c>
      <c r="H52" s="2" t="s">
        <v>279</v>
      </c>
      <c r="I52" s="4" t="s">
        <v>185</v>
      </c>
    </row>
    <row r="53" spans="1:9" x14ac:dyDescent="0.25">
      <c r="A53" t="s">
        <v>190</v>
      </c>
      <c r="B53" t="s">
        <v>189</v>
      </c>
      <c r="D53" s="1">
        <v>1</v>
      </c>
      <c r="E53">
        <v>0</v>
      </c>
      <c r="F53">
        <v>0</v>
      </c>
      <c r="G53" t="b">
        <v>1</v>
      </c>
      <c r="H53" s="2" t="s">
        <v>282</v>
      </c>
      <c r="I53" s="4" t="s">
        <v>188</v>
      </c>
    </row>
    <row r="54" spans="1:9" x14ac:dyDescent="0.25">
      <c r="A54" t="s">
        <v>223</v>
      </c>
      <c r="B54" t="s">
        <v>192</v>
      </c>
      <c r="D54" s="1">
        <v>1</v>
      </c>
      <c r="E54">
        <v>0</v>
      </c>
      <c r="F54">
        <v>0</v>
      </c>
      <c r="G54" t="b">
        <v>1</v>
      </c>
      <c r="H54" s="2" t="s">
        <v>280</v>
      </c>
      <c r="I54" s="4" t="s">
        <v>191</v>
      </c>
    </row>
    <row r="55" spans="1:9" x14ac:dyDescent="0.25">
      <c r="A55" t="s">
        <v>201</v>
      </c>
      <c r="B55" t="s">
        <v>194</v>
      </c>
      <c r="D55" s="1">
        <v>1</v>
      </c>
      <c r="E55">
        <v>0</v>
      </c>
      <c r="F55">
        <v>0</v>
      </c>
      <c r="G55" t="b">
        <v>1</v>
      </c>
      <c r="H55" s="2" t="s">
        <v>281</v>
      </c>
      <c r="I55" s="4" t="s">
        <v>193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88B68-9379-42FF-B529-5C1760363E4C}">
  <sheetPr codeName="Sheet3"/>
  <dimension ref="A1:J3"/>
  <sheetViews>
    <sheetView workbookViewId="0">
      <selection activeCell="C4" sqref="C4"/>
    </sheetView>
  </sheetViews>
  <sheetFormatPr defaultRowHeight="15" x14ac:dyDescent="0.25"/>
  <cols>
    <col min="2" max="2" width="26.42578125" bestFit="1" customWidth="1"/>
    <col min="3" max="3" width="6.28515625" bestFit="1" customWidth="1"/>
    <col min="5" max="5" width="9.7109375" bestFit="1" customWidth="1"/>
    <col min="8" max="8" width="18.85546875" bestFit="1" customWidth="1"/>
    <col min="9" max="9" width="19.28515625" bestFit="1" customWidth="1"/>
  </cols>
  <sheetData>
    <row r="1" spans="1:10" x14ac:dyDescent="0.25">
      <c r="A1" t="s">
        <v>0</v>
      </c>
      <c r="B1" t="s">
        <v>22</v>
      </c>
      <c r="C1" t="s">
        <v>339</v>
      </c>
      <c r="D1" t="s">
        <v>313</v>
      </c>
      <c r="E1" t="s">
        <v>314</v>
      </c>
      <c r="F1" t="s">
        <v>315</v>
      </c>
      <c r="G1" t="s">
        <v>317</v>
      </c>
      <c r="H1" t="s">
        <v>23</v>
      </c>
      <c r="I1" t="s">
        <v>338</v>
      </c>
      <c r="J1" s="3" t="s">
        <v>316</v>
      </c>
    </row>
    <row r="2" spans="1:10" x14ac:dyDescent="0.25">
      <c r="A2" t="s">
        <v>255</v>
      </c>
      <c r="B2" t="s">
        <v>119</v>
      </c>
      <c r="D2" s="1">
        <v>1</v>
      </c>
      <c r="E2">
        <v>0</v>
      </c>
      <c r="F2">
        <v>273.14999999999998</v>
      </c>
      <c r="G2" t="b">
        <v>0</v>
      </c>
      <c r="H2" s="2" t="s">
        <v>249</v>
      </c>
      <c r="I2" s="4" t="s">
        <v>118</v>
      </c>
      <c r="J2" t="s">
        <v>9</v>
      </c>
    </row>
    <row r="3" spans="1:10" x14ac:dyDescent="0.25">
      <c r="A3" t="s">
        <v>283</v>
      </c>
      <c r="B3" t="s">
        <v>295</v>
      </c>
      <c r="D3">
        <f>+PI()/180</f>
        <v>1.7453292519943295E-2</v>
      </c>
      <c r="E3">
        <v>0</v>
      </c>
      <c r="F3">
        <v>0</v>
      </c>
      <c r="G3" t="b">
        <v>0</v>
      </c>
      <c r="H3" s="2" t="s">
        <v>296</v>
      </c>
      <c r="I3" t="s">
        <v>284</v>
      </c>
      <c r="J3" t="s">
        <v>78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FCB2-020E-4993-91C8-E39F4485D236}">
  <sheetPr codeName="Sheet4"/>
  <dimension ref="A1:J9"/>
  <sheetViews>
    <sheetView workbookViewId="0">
      <selection activeCell="C9" sqref="C9"/>
    </sheetView>
  </sheetViews>
  <sheetFormatPr defaultRowHeight="15" x14ac:dyDescent="0.25"/>
  <cols>
    <col min="2" max="2" width="11.42578125" bestFit="1" customWidth="1"/>
    <col min="3" max="3" width="6.28515625" bestFit="1" customWidth="1"/>
    <col min="4" max="4" width="14.28515625" bestFit="1" customWidth="1"/>
  </cols>
  <sheetData>
    <row r="1" spans="1:10" x14ac:dyDescent="0.25">
      <c r="A1" t="s">
        <v>0</v>
      </c>
      <c r="B1" t="s">
        <v>22</v>
      </c>
      <c r="C1" t="s">
        <v>339</v>
      </c>
      <c r="D1" t="s">
        <v>313</v>
      </c>
      <c r="E1" t="s">
        <v>314</v>
      </c>
      <c r="F1" t="s">
        <v>315</v>
      </c>
      <c r="G1" t="s">
        <v>317</v>
      </c>
      <c r="H1" t="s">
        <v>23</v>
      </c>
      <c r="I1" t="s">
        <v>338</v>
      </c>
      <c r="J1" t="s">
        <v>316</v>
      </c>
    </row>
    <row r="2" spans="1:10" x14ac:dyDescent="0.25">
      <c r="A2" t="s">
        <v>31</v>
      </c>
      <c r="B2" t="s">
        <v>32</v>
      </c>
      <c r="C2" t="s">
        <v>8</v>
      </c>
      <c r="D2" s="5">
        <v>1E-3</v>
      </c>
      <c r="E2">
        <v>0</v>
      </c>
      <c r="F2">
        <v>0</v>
      </c>
      <c r="G2" t="b">
        <v>0</v>
      </c>
      <c r="H2" s="2" t="s">
        <v>287</v>
      </c>
      <c r="I2" t="s">
        <v>15</v>
      </c>
      <c r="J2" t="s">
        <v>8</v>
      </c>
    </row>
    <row r="3" spans="1:10" x14ac:dyDescent="0.25">
      <c r="A3" t="s">
        <v>33</v>
      </c>
      <c r="B3" t="s">
        <v>38</v>
      </c>
      <c r="C3" t="s">
        <v>349</v>
      </c>
      <c r="D3" s="1">
        <v>0.01</v>
      </c>
      <c r="E3">
        <v>0</v>
      </c>
      <c r="F3">
        <v>0</v>
      </c>
      <c r="G3" t="b">
        <v>0</v>
      </c>
      <c r="H3" s="2" t="s">
        <v>288</v>
      </c>
      <c r="I3" t="s">
        <v>15</v>
      </c>
      <c r="J3" t="s">
        <v>8</v>
      </c>
    </row>
    <row r="4" spans="1:10" x14ac:dyDescent="0.25">
      <c r="A4" t="s">
        <v>34</v>
      </c>
      <c r="B4" t="s">
        <v>39</v>
      </c>
      <c r="C4" t="s">
        <v>9</v>
      </c>
      <c r="D4" s="6">
        <v>1000</v>
      </c>
      <c r="E4">
        <v>0</v>
      </c>
      <c r="F4">
        <v>0</v>
      </c>
      <c r="G4" t="b">
        <v>0</v>
      </c>
      <c r="H4" s="2" t="s">
        <v>289</v>
      </c>
      <c r="I4" t="s">
        <v>15</v>
      </c>
      <c r="J4" t="s">
        <v>8</v>
      </c>
    </row>
    <row r="5" spans="1:10" x14ac:dyDescent="0.25">
      <c r="A5" t="s">
        <v>35</v>
      </c>
      <c r="B5" t="s">
        <v>40</v>
      </c>
      <c r="C5" t="s">
        <v>351</v>
      </c>
      <c r="D5" s="8">
        <v>1.0000000000000001E-9</v>
      </c>
      <c r="E5">
        <v>0</v>
      </c>
      <c r="F5">
        <v>0</v>
      </c>
      <c r="G5" t="b">
        <v>0</v>
      </c>
      <c r="H5" s="2" t="s">
        <v>290</v>
      </c>
      <c r="I5" t="s">
        <v>15</v>
      </c>
      <c r="J5" t="s">
        <v>8</v>
      </c>
    </row>
    <row r="6" spans="1:10" x14ac:dyDescent="0.25">
      <c r="A6" t="s">
        <v>36</v>
      </c>
      <c r="B6" t="s">
        <v>41</v>
      </c>
      <c r="C6" t="s">
        <v>352</v>
      </c>
      <c r="D6" s="9">
        <v>9.9999999999999998E-13</v>
      </c>
      <c r="E6">
        <v>0</v>
      </c>
      <c r="F6">
        <v>0</v>
      </c>
      <c r="G6" t="b">
        <v>0</v>
      </c>
      <c r="H6" s="2" t="s">
        <v>291</v>
      </c>
      <c r="I6" t="s">
        <v>15</v>
      </c>
      <c r="J6" t="s">
        <v>8</v>
      </c>
    </row>
    <row r="7" spans="1:10" x14ac:dyDescent="0.25">
      <c r="A7" t="s">
        <v>43</v>
      </c>
      <c r="B7" t="s">
        <v>44</v>
      </c>
      <c r="C7" t="s">
        <v>379</v>
      </c>
      <c r="D7" s="7">
        <v>9.9999999999999995E-7</v>
      </c>
      <c r="E7">
        <v>0</v>
      </c>
      <c r="F7">
        <v>0</v>
      </c>
      <c r="G7" t="b">
        <v>0</v>
      </c>
      <c r="H7" s="2" t="s">
        <v>292</v>
      </c>
      <c r="I7" t="s">
        <v>15</v>
      </c>
      <c r="J7" t="s">
        <v>8</v>
      </c>
    </row>
    <row r="8" spans="1:10" x14ac:dyDescent="0.25">
      <c r="A8" t="s">
        <v>37</v>
      </c>
      <c r="B8" t="s">
        <v>42</v>
      </c>
      <c r="D8" s="5">
        <v>1E-3</v>
      </c>
      <c r="E8">
        <v>0</v>
      </c>
      <c r="F8">
        <v>0</v>
      </c>
      <c r="G8" t="b">
        <v>0</v>
      </c>
      <c r="H8" s="2" t="s">
        <v>293</v>
      </c>
      <c r="I8" t="s">
        <v>16</v>
      </c>
      <c r="J8" t="s">
        <v>11</v>
      </c>
    </row>
    <row r="9" spans="1:10" x14ac:dyDescent="0.25">
      <c r="A9" t="s">
        <v>285</v>
      </c>
      <c r="B9" t="s">
        <v>286</v>
      </c>
      <c r="D9" s="6">
        <v>1000</v>
      </c>
      <c r="E9">
        <v>0</v>
      </c>
      <c r="F9">
        <v>0</v>
      </c>
      <c r="G9" t="b">
        <v>0</v>
      </c>
      <c r="H9" s="2" t="s">
        <v>294</v>
      </c>
      <c r="I9" t="s">
        <v>16</v>
      </c>
      <c r="J9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DF62-939F-4DA3-8219-C03E4FCB36AB}">
  <sheetPr codeName="Sheet5"/>
  <dimension ref="A1:J6"/>
  <sheetViews>
    <sheetView workbookViewId="0">
      <selection activeCell="D13" sqref="D13"/>
    </sheetView>
  </sheetViews>
  <sheetFormatPr defaultRowHeight="15" x14ac:dyDescent="0.25"/>
  <cols>
    <col min="4" max="4" width="12" bestFit="1" customWidth="1"/>
    <col min="9" max="9" width="10.42578125" bestFit="1" customWidth="1"/>
  </cols>
  <sheetData>
    <row r="1" spans="1:10" x14ac:dyDescent="0.25">
      <c r="A1" t="s">
        <v>0</v>
      </c>
      <c r="B1" t="s">
        <v>22</v>
      </c>
      <c r="C1" t="s">
        <v>339</v>
      </c>
      <c r="D1" t="s">
        <v>313</v>
      </c>
      <c r="E1" t="s">
        <v>314</v>
      </c>
      <c r="F1" t="s">
        <v>315</v>
      </c>
      <c r="G1" t="s">
        <v>317</v>
      </c>
      <c r="H1" t="s">
        <v>23</v>
      </c>
      <c r="I1" t="s">
        <v>338</v>
      </c>
      <c r="J1" t="s">
        <v>316</v>
      </c>
    </row>
    <row r="2" spans="1:10" x14ac:dyDescent="0.25">
      <c r="A2" t="s">
        <v>297</v>
      </c>
      <c r="B2" t="s">
        <v>298</v>
      </c>
      <c r="D2" s="5">
        <f>1/0.0254</f>
        <v>39.370078740157481</v>
      </c>
      <c r="E2">
        <v>0</v>
      </c>
      <c r="F2">
        <v>0</v>
      </c>
      <c r="G2" t="b">
        <v>0</v>
      </c>
      <c r="H2" s="2" t="s">
        <v>299</v>
      </c>
      <c r="I2" t="s">
        <v>15</v>
      </c>
      <c r="J2" t="s">
        <v>8</v>
      </c>
    </row>
    <row r="3" spans="1:10" x14ac:dyDescent="0.25">
      <c r="A3" t="s">
        <v>300</v>
      </c>
      <c r="B3" t="s">
        <v>301</v>
      </c>
      <c r="D3">
        <f>1/0.3048</f>
        <v>3.280839895013123</v>
      </c>
      <c r="E3">
        <v>0</v>
      </c>
      <c r="F3">
        <v>0</v>
      </c>
      <c r="G3" t="b">
        <v>0</v>
      </c>
      <c r="H3" s="2" t="s">
        <v>308</v>
      </c>
      <c r="I3" t="s">
        <v>15</v>
      </c>
      <c r="J3" t="s">
        <v>8</v>
      </c>
    </row>
    <row r="4" spans="1:10" x14ac:dyDescent="0.25">
      <c r="A4" t="s">
        <v>302</v>
      </c>
      <c r="B4" t="s">
        <v>301</v>
      </c>
      <c r="D4">
        <f>1/1609.34</f>
        <v>6.2137273664980683E-4</v>
      </c>
      <c r="E4">
        <v>0</v>
      </c>
      <c r="F4">
        <v>0</v>
      </c>
      <c r="G4" t="b">
        <v>0</v>
      </c>
      <c r="H4" s="2" t="s">
        <v>307</v>
      </c>
      <c r="I4" t="s">
        <v>15</v>
      </c>
      <c r="J4" t="s">
        <v>8</v>
      </c>
    </row>
    <row r="5" spans="1:10" x14ac:dyDescent="0.25">
      <c r="A5" t="s">
        <v>303</v>
      </c>
      <c r="B5" t="s">
        <v>305</v>
      </c>
      <c r="D5">
        <f>1/0.00064516</f>
        <v>1550.0031000062002</v>
      </c>
      <c r="E5">
        <v>0</v>
      </c>
      <c r="F5">
        <v>0</v>
      </c>
      <c r="G5" t="b">
        <v>0</v>
      </c>
      <c r="H5" s="2" t="s">
        <v>306</v>
      </c>
      <c r="I5" t="s">
        <v>45</v>
      </c>
      <c r="J5" t="s">
        <v>68</v>
      </c>
    </row>
    <row r="6" spans="1:10" x14ac:dyDescent="0.25">
      <c r="A6" t="s">
        <v>304</v>
      </c>
      <c r="B6" t="s">
        <v>309</v>
      </c>
      <c r="D6">
        <f>1/0.092903</f>
        <v>10.763915051182416</v>
      </c>
      <c r="E6">
        <v>0</v>
      </c>
      <c r="F6">
        <v>0</v>
      </c>
      <c r="G6" t="b">
        <v>0</v>
      </c>
      <c r="H6" s="2" t="s">
        <v>310</v>
      </c>
      <c r="I6" t="s">
        <v>45</v>
      </c>
      <c r="J6" t="s">
        <v>68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17-2269-40CA-BA7C-DAB03AB78A60}">
  <sheetPr codeName="Sheet6"/>
  <dimension ref="A1:B6"/>
  <sheetViews>
    <sheetView workbookViewId="0">
      <selection activeCell="B7" sqref="B7"/>
    </sheetView>
  </sheetViews>
  <sheetFormatPr defaultRowHeight="15" x14ac:dyDescent="0.25"/>
  <sheetData>
    <row r="1" spans="1:2" x14ac:dyDescent="0.25">
      <c r="A1" t="s">
        <v>311</v>
      </c>
      <c r="B1" t="s">
        <v>0</v>
      </c>
    </row>
    <row r="2" spans="1:2" x14ac:dyDescent="0.25">
      <c r="A2">
        <v>122.4</v>
      </c>
      <c r="B2" t="s">
        <v>31</v>
      </c>
    </row>
    <row r="3" spans="1:2" x14ac:dyDescent="0.25">
      <c r="A3">
        <v>289.33999999999997</v>
      </c>
      <c r="B3" t="s">
        <v>303</v>
      </c>
    </row>
    <row r="4" spans="1:2" x14ac:dyDescent="0.25">
      <c r="A4">
        <v>108.3</v>
      </c>
      <c r="B4" t="s">
        <v>312</v>
      </c>
    </row>
    <row r="5" spans="1:2" x14ac:dyDescent="0.25">
      <c r="A5">
        <v>22.8</v>
      </c>
      <c r="B5" t="s">
        <v>256</v>
      </c>
    </row>
    <row r="6" spans="1:2" x14ac:dyDescent="0.25">
      <c r="A6">
        <v>428.9</v>
      </c>
      <c r="B6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FDE5-BF3A-45E8-9FC0-3E957B27B083}">
  <sheetPr codeName="Sheet7"/>
  <dimension ref="A1:I76"/>
  <sheetViews>
    <sheetView workbookViewId="0">
      <selection activeCell="A8" sqref="A8"/>
    </sheetView>
  </sheetViews>
  <sheetFormatPr defaultRowHeight="15" x14ac:dyDescent="0.25"/>
  <cols>
    <col min="1" max="1" width="33.42578125" bestFit="1" customWidth="1"/>
  </cols>
  <sheetData>
    <row r="1" spans="1:9" x14ac:dyDescent="0.25">
      <c r="A1" t="s">
        <v>338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266</v>
      </c>
    </row>
    <row r="2" spans="1:9" x14ac:dyDescent="0.25">
      <c r="A2" t="s">
        <v>17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15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16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19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</row>
    <row r="7" spans="1:9" x14ac:dyDescent="0.25">
      <c r="A7" t="s">
        <v>20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</row>
    <row r="8" spans="1:9" x14ac:dyDescent="0.25">
      <c r="A8" t="s">
        <v>21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</row>
    <row r="9" spans="1:9" x14ac:dyDescent="0.25">
      <c r="A9" t="s">
        <v>77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</row>
    <row r="10" spans="1:9" x14ac:dyDescent="0.25">
      <c r="A10" t="s">
        <v>268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 t="s">
        <v>269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t="s">
        <v>45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t="s">
        <v>47</v>
      </c>
      <c r="B13">
        <v>0</v>
      </c>
      <c r="C13">
        <v>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t="s">
        <v>318</v>
      </c>
      <c r="B14">
        <v>-1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51</v>
      </c>
      <c r="B15">
        <v>-2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53</v>
      </c>
      <c r="B16">
        <v>0</v>
      </c>
      <c r="C16">
        <v>-1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55</v>
      </c>
      <c r="B17">
        <v>0</v>
      </c>
      <c r="C17">
        <v>-3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57</v>
      </c>
      <c r="B18">
        <v>0</v>
      </c>
      <c r="C18">
        <v>3</v>
      </c>
      <c r="D18">
        <v>-1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59</v>
      </c>
      <c r="B19">
        <v>0</v>
      </c>
      <c r="C19">
        <v>-2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61</v>
      </c>
      <c r="B20">
        <v>0</v>
      </c>
      <c r="C20">
        <v>-1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64</v>
      </c>
      <c r="B21">
        <v>0</v>
      </c>
      <c r="C21">
        <v>-3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</row>
    <row r="22" spans="1:9" x14ac:dyDescent="0.25">
      <c r="A22" t="s">
        <v>66</v>
      </c>
      <c r="B22">
        <v>0</v>
      </c>
      <c r="C22">
        <v>-2</v>
      </c>
      <c r="D22">
        <v>0</v>
      </c>
      <c r="E22">
        <v>0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80</v>
      </c>
      <c r="B23">
        <v>-1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83</v>
      </c>
      <c r="B24">
        <v>-2</v>
      </c>
      <c r="C24">
        <v>1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319</v>
      </c>
      <c r="B25">
        <v>-2</v>
      </c>
      <c r="C25">
        <v>-1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320</v>
      </c>
      <c r="B26">
        <v>-2</v>
      </c>
      <c r="C26">
        <v>-1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321</v>
      </c>
      <c r="B27">
        <v>-2</v>
      </c>
      <c r="C27">
        <v>2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322</v>
      </c>
      <c r="B28">
        <v>-3</v>
      </c>
      <c r="C28">
        <v>2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323</v>
      </c>
      <c r="B29">
        <v>-3</v>
      </c>
      <c r="C29">
        <v>2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324</v>
      </c>
      <c r="B30">
        <v>1</v>
      </c>
      <c r="C30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325</v>
      </c>
      <c r="B31">
        <v>-3</v>
      </c>
      <c r="C31">
        <v>2</v>
      </c>
      <c r="D31">
        <v>1</v>
      </c>
      <c r="E31">
        <v>-1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101</v>
      </c>
      <c r="B32">
        <v>4</v>
      </c>
      <c r="C32">
        <v>-2</v>
      </c>
      <c r="D32">
        <v>-1</v>
      </c>
      <c r="E32">
        <v>2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104</v>
      </c>
      <c r="B33">
        <v>-3</v>
      </c>
      <c r="C33">
        <v>2</v>
      </c>
      <c r="D33">
        <v>1</v>
      </c>
      <c r="E33">
        <v>-2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106</v>
      </c>
      <c r="B34">
        <v>3</v>
      </c>
      <c r="C34">
        <v>-2</v>
      </c>
      <c r="D34">
        <v>-1</v>
      </c>
      <c r="E34">
        <v>2</v>
      </c>
      <c r="F34">
        <v>0</v>
      </c>
      <c r="G34">
        <v>0</v>
      </c>
      <c r="H34">
        <v>0</v>
      </c>
      <c r="I34">
        <v>0</v>
      </c>
    </row>
    <row r="35" spans="1:9" x14ac:dyDescent="0.25">
      <c r="A35" t="s">
        <v>109</v>
      </c>
      <c r="B35">
        <v>-2</v>
      </c>
      <c r="C35">
        <v>2</v>
      </c>
      <c r="D35">
        <v>1</v>
      </c>
      <c r="E35">
        <v>-1</v>
      </c>
      <c r="F35">
        <v>0</v>
      </c>
      <c r="G35">
        <v>0</v>
      </c>
      <c r="H35">
        <v>0</v>
      </c>
      <c r="I35">
        <v>0</v>
      </c>
    </row>
    <row r="36" spans="1:9" x14ac:dyDescent="0.25">
      <c r="A36" t="s">
        <v>112</v>
      </c>
      <c r="B36">
        <v>-2</v>
      </c>
      <c r="C36">
        <v>0</v>
      </c>
      <c r="D36">
        <v>1</v>
      </c>
      <c r="E36">
        <v>-1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115</v>
      </c>
      <c r="B37">
        <v>-2</v>
      </c>
      <c r="C37">
        <v>2</v>
      </c>
      <c r="D37">
        <v>1</v>
      </c>
      <c r="E37">
        <v>-2</v>
      </c>
      <c r="F37">
        <v>0</v>
      </c>
      <c r="G37">
        <v>0</v>
      </c>
      <c r="H37">
        <v>0</v>
      </c>
      <c r="I37">
        <v>0</v>
      </c>
    </row>
    <row r="38" spans="1:9" x14ac:dyDescent="0.25">
      <c r="A38" t="s">
        <v>120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123</v>
      </c>
      <c r="B39">
        <v>0</v>
      </c>
      <c r="C39">
        <v>-2</v>
      </c>
      <c r="D39">
        <v>0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126</v>
      </c>
      <c r="B40">
        <v>-1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326</v>
      </c>
      <c r="B41">
        <v>-2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327</v>
      </c>
      <c r="B42">
        <v>-2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139</v>
      </c>
      <c r="B43">
        <v>-2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135</v>
      </c>
      <c r="B44">
        <v>-1</v>
      </c>
      <c r="C44">
        <v>0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</row>
    <row r="45" spans="1:9" x14ac:dyDescent="0.25">
      <c r="A45" t="s">
        <v>140</v>
      </c>
      <c r="B45">
        <v>-1</v>
      </c>
      <c r="C45">
        <v>-1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142</v>
      </c>
      <c r="B46">
        <v>-2</v>
      </c>
      <c r="C46">
        <v>2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144</v>
      </c>
      <c r="B47">
        <v>-2</v>
      </c>
      <c r="C47">
        <v>0</v>
      </c>
      <c r="D47">
        <v>1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5">
      <c r="A48" t="s">
        <v>147</v>
      </c>
      <c r="B48">
        <v>-1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</row>
    <row r="49" spans="1:9" x14ac:dyDescent="0.25">
      <c r="A49" t="s">
        <v>150</v>
      </c>
      <c r="B49">
        <v>-2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</row>
    <row r="50" spans="1:9" x14ac:dyDescent="0.25">
      <c r="A50" t="s">
        <v>328</v>
      </c>
      <c r="B50">
        <v>-3</v>
      </c>
      <c r="C50">
        <v>0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329</v>
      </c>
      <c r="B51">
        <v>-3</v>
      </c>
      <c r="C51">
        <v>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25">
      <c r="A52" t="s">
        <v>330</v>
      </c>
      <c r="B52">
        <v>-2</v>
      </c>
      <c r="C52">
        <v>2</v>
      </c>
      <c r="D52">
        <v>1</v>
      </c>
      <c r="E52">
        <v>0</v>
      </c>
      <c r="F52">
        <v>-1</v>
      </c>
      <c r="G52">
        <v>0</v>
      </c>
      <c r="H52">
        <v>0</v>
      </c>
      <c r="I52">
        <v>0</v>
      </c>
    </row>
    <row r="53" spans="1:9" x14ac:dyDescent="0.25">
      <c r="A53" t="s">
        <v>331</v>
      </c>
      <c r="B53">
        <v>-2</v>
      </c>
      <c r="C53">
        <v>2</v>
      </c>
      <c r="D53">
        <v>1</v>
      </c>
      <c r="E53">
        <v>0</v>
      </c>
      <c r="F53">
        <v>-1</v>
      </c>
      <c r="G53">
        <v>0</v>
      </c>
      <c r="H53">
        <v>0</v>
      </c>
      <c r="I53">
        <v>0</v>
      </c>
    </row>
    <row r="54" spans="1:9" x14ac:dyDescent="0.25">
      <c r="A54" t="s">
        <v>332</v>
      </c>
      <c r="B54">
        <v>-2</v>
      </c>
      <c r="C54">
        <v>2</v>
      </c>
      <c r="D54">
        <v>0</v>
      </c>
      <c r="E54">
        <v>0</v>
      </c>
      <c r="F54">
        <v>-1</v>
      </c>
      <c r="G54">
        <v>0</v>
      </c>
      <c r="H54">
        <v>0</v>
      </c>
      <c r="I54">
        <v>0</v>
      </c>
    </row>
    <row r="55" spans="1:9" x14ac:dyDescent="0.25">
      <c r="A55" t="s">
        <v>333</v>
      </c>
      <c r="B55">
        <v>-2</v>
      </c>
      <c r="C55">
        <v>2</v>
      </c>
      <c r="D55">
        <v>0</v>
      </c>
      <c r="E55">
        <v>0</v>
      </c>
      <c r="F55">
        <v>-1</v>
      </c>
      <c r="G55">
        <v>0</v>
      </c>
      <c r="H55">
        <v>0</v>
      </c>
      <c r="I55">
        <v>0</v>
      </c>
    </row>
    <row r="56" spans="1:9" x14ac:dyDescent="0.25">
      <c r="A56" t="s">
        <v>159</v>
      </c>
      <c r="B56">
        <v>-2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5">
      <c r="A57" t="s">
        <v>161</v>
      </c>
      <c r="B57">
        <v>-3</v>
      </c>
      <c r="C57">
        <v>1</v>
      </c>
      <c r="D57">
        <v>1</v>
      </c>
      <c r="E57">
        <v>0</v>
      </c>
      <c r="F57">
        <v>-1</v>
      </c>
      <c r="G57">
        <v>0</v>
      </c>
      <c r="H57">
        <v>0</v>
      </c>
      <c r="I57">
        <v>0</v>
      </c>
    </row>
    <row r="58" spans="1:9" x14ac:dyDescent="0.25">
      <c r="A58" t="s">
        <v>163</v>
      </c>
      <c r="B58">
        <v>-2</v>
      </c>
      <c r="C58">
        <v>-1</v>
      </c>
      <c r="D58">
        <v>1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25">
      <c r="A59" t="s">
        <v>165</v>
      </c>
      <c r="B59">
        <v>-3</v>
      </c>
      <c r="C59">
        <v>1</v>
      </c>
      <c r="D59">
        <v>1</v>
      </c>
      <c r="E59">
        <v>-1</v>
      </c>
      <c r="F59">
        <v>0</v>
      </c>
      <c r="G59">
        <v>0</v>
      </c>
      <c r="H59">
        <v>0</v>
      </c>
      <c r="I59">
        <v>0</v>
      </c>
    </row>
    <row r="60" spans="1:9" x14ac:dyDescent="0.25">
      <c r="A60" t="s">
        <v>168</v>
      </c>
      <c r="B60">
        <v>1</v>
      </c>
      <c r="C60">
        <v>-3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</row>
    <row r="61" spans="1:9" x14ac:dyDescent="0.25">
      <c r="A61" t="s">
        <v>170</v>
      </c>
      <c r="B61">
        <v>1</v>
      </c>
      <c r="C61">
        <v>-2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</row>
    <row r="62" spans="1:9" x14ac:dyDescent="0.25">
      <c r="A62" t="s">
        <v>172</v>
      </c>
      <c r="B62">
        <v>4</v>
      </c>
      <c r="C62">
        <v>-3</v>
      </c>
      <c r="D62">
        <v>-1</v>
      </c>
      <c r="E62">
        <v>2</v>
      </c>
      <c r="F62">
        <v>0</v>
      </c>
      <c r="G62">
        <v>0</v>
      </c>
      <c r="H62">
        <v>0</v>
      </c>
      <c r="I62">
        <v>0</v>
      </c>
    </row>
    <row r="63" spans="1:9" x14ac:dyDescent="0.25">
      <c r="A63" t="s">
        <v>175</v>
      </c>
      <c r="B63">
        <v>-2</v>
      </c>
      <c r="C63">
        <v>1</v>
      </c>
      <c r="D63">
        <v>1</v>
      </c>
      <c r="E63">
        <v>-2</v>
      </c>
      <c r="F63">
        <v>0</v>
      </c>
      <c r="G63">
        <v>0</v>
      </c>
      <c r="H63">
        <v>0</v>
      </c>
      <c r="I63">
        <v>0</v>
      </c>
    </row>
    <row r="64" spans="1:9" x14ac:dyDescent="0.25">
      <c r="A64" t="s">
        <v>178</v>
      </c>
      <c r="B64">
        <v>-2</v>
      </c>
      <c r="C64">
        <v>2</v>
      </c>
      <c r="D64">
        <v>1</v>
      </c>
      <c r="E64">
        <v>0</v>
      </c>
      <c r="F64">
        <v>0</v>
      </c>
      <c r="G64">
        <v>-1</v>
      </c>
      <c r="H64">
        <v>0</v>
      </c>
      <c r="I64">
        <v>0</v>
      </c>
    </row>
    <row r="65" spans="1:9" x14ac:dyDescent="0.25">
      <c r="A65" t="s">
        <v>334</v>
      </c>
      <c r="B65">
        <v>-2</v>
      </c>
      <c r="C65">
        <v>2</v>
      </c>
      <c r="D65">
        <v>1</v>
      </c>
      <c r="E65">
        <v>0</v>
      </c>
      <c r="F65">
        <v>1</v>
      </c>
      <c r="G65">
        <v>-1</v>
      </c>
      <c r="H65">
        <v>0</v>
      </c>
      <c r="I65">
        <v>0</v>
      </c>
    </row>
    <row r="66" spans="1:9" x14ac:dyDescent="0.25">
      <c r="A66" t="s">
        <v>335</v>
      </c>
      <c r="B66">
        <v>-2</v>
      </c>
      <c r="C66">
        <v>2</v>
      </c>
      <c r="D66">
        <v>1</v>
      </c>
      <c r="E66">
        <v>0</v>
      </c>
      <c r="F66">
        <v>1</v>
      </c>
      <c r="G66">
        <v>-1</v>
      </c>
      <c r="H66">
        <v>0</v>
      </c>
      <c r="I66">
        <v>0</v>
      </c>
    </row>
    <row r="67" spans="1:9" x14ac:dyDescent="0.25">
      <c r="A67" t="s">
        <v>200</v>
      </c>
      <c r="B67">
        <v>1</v>
      </c>
      <c r="C67">
        <v>0</v>
      </c>
      <c r="D67">
        <v>-1</v>
      </c>
      <c r="E67">
        <v>1</v>
      </c>
      <c r="F67">
        <v>0</v>
      </c>
      <c r="G67">
        <v>0</v>
      </c>
      <c r="H67">
        <v>0</v>
      </c>
      <c r="I67">
        <v>0</v>
      </c>
    </row>
    <row r="68" spans="1:9" x14ac:dyDescent="0.25">
      <c r="A68" t="s">
        <v>185</v>
      </c>
      <c r="B68">
        <v>-3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25">
      <c r="A69" t="s">
        <v>188</v>
      </c>
      <c r="B69">
        <v>-3</v>
      </c>
      <c r="C69">
        <v>2</v>
      </c>
      <c r="D69">
        <v>1</v>
      </c>
      <c r="E69">
        <v>0</v>
      </c>
      <c r="F69">
        <v>0</v>
      </c>
      <c r="G69">
        <v>0</v>
      </c>
      <c r="H69">
        <v>0</v>
      </c>
      <c r="I69">
        <v>-1</v>
      </c>
    </row>
    <row r="70" spans="1:9" x14ac:dyDescent="0.25">
      <c r="A70" t="s">
        <v>191</v>
      </c>
      <c r="B70">
        <v>-3</v>
      </c>
      <c r="C70">
        <v>0</v>
      </c>
      <c r="D70">
        <v>1</v>
      </c>
      <c r="E70">
        <v>0</v>
      </c>
      <c r="F70">
        <v>0</v>
      </c>
      <c r="G70">
        <v>0</v>
      </c>
      <c r="H70">
        <v>0</v>
      </c>
      <c r="I70">
        <v>-1</v>
      </c>
    </row>
    <row r="71" spans="1:9" x14ac:dyDescent="0.25">
      <c r="A71" t="s">
        <v>193</v>
      </c>
      <c r="B71">
        <v>-1</v>
      </c>
      <c r="C71">
        <v>3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</row>
    <row r="72" spans="1:9" x14ac:dyDescent="0.25">
      <c r="A72" t="s">
        <v>79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</row>
    <row r="73" spans="1:9" x14ac:dyDescent="0.25">
      <c r="A73" t="s">
        <v>336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25">
      <c r="A74" t="s">
        <v>337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25">
      <c r="A75" t="s">
        <v>268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25">
      <c r="A76" t="s">
        <v>269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7233-A43C-44C1-B7D8-044B5893D32D}">
  <sheetPr codeName="Sheet8"/>
  <dimension ref="A1:C22"/>
  <sheetViews>
    <sheetView tabSelected="1" workbookViewId="0">
      <selection activeCell="H42" sqref="H42"/>
    </sheetView>
  </sheetViews>
  <sheetFormatPr defaultRowHeight="15" x14ac:dyDescent="0.25"/>
  <cols>
    <col min="2" max="2" width="11.7109375" bestFit="1" customWidth="1"/>
  </cols>
  <sheetData>
    <row r="1" spans="1:3" x14ac:dyDescent="0.25">
      <c r="A1" t="s">
        <v>339</v>
      </c>
      <c r="B1" t="s">
        <v>377</v>
      </c>
      <c r="C1" t="s">
        <v>378</v>
      </c>
    </row>
    <row r="2" spans="1:3" x14ac:dyDescent="0.25">
      <c r="A2" t="s">
        <v>340</v>
      </c>
      <c r="B2" t="s">
        <v>357</v>
      </c>
      <c r="C2">
        <v>24</v>
      </c>
    </row>
    <row r="3" spans="1:3" x14ac:dyDescent="0.25">
      <c r="A3" t="s">
        <v>341</v>
      </c>
      <c r="B3" t="s">
        <v>358</v>
      </c>
      <c r="C3">
        <v>21</v>
      </c>
    </row>
    <row r="4" spans="1:3" x14ac:dyDescent="0.25">
      <c r="A4" t="s">
        <v>342</v>
      </c>
      <c r="B4" t="s">
        <v>359</v>
      </c>
      <c r="C4">
        <v>18</v>
      </c>
    </row>
    <row r="5" spans="1:3" x14ac:dyDescent="0.25">
      <c r="A5" t="s">
        <v>343</v>
      </c>
      <c r="B5" t="s">
        <v>360</v>
      </c>
      <c r="C5">
        <v>15</v>
      </c>
    </row>
    <row r="6" spans="1:3" x14ac:dyDescent="0.25">
      <c r="A6" t="s">
        <v>114</v>
      </c>
      <c r="B6" t="s">
        <v>361</v>
      </c>
      <c r="C6">
        <v>12</v>
      </c>
    </row>
    <row r="7" spans="1:3" x14ac:dyDescent="0.25">
      <c r="A7" t="s">
        <v>344</v>
      </c>
      <c r="B7" t="s">
        <v>362</v>
      </c>
      <c r="C7">
        <v>9</v>
      </c>
    </row>
    <row r="8" spans="1:3" x14ac:dyDescent="0.25">
      <c r="A8" t="s">
        <v>345</v>
      </c>
      <c r="B8" t="s">
        <v>363</v>
      </c>
      <c r="C8">
        <v>6</v>
      </c>
    </row>
    <row r="9" spans="1:3" x14ac:dyDescent="0.25">
      <c r="A9" t="s">
        <v>9</v>
      </c>
      <c r="B9" t="s">
        <v>364</v>
      </c>
      <c r="C9">
        <v>3</v>
      </c>
    </row>
    <row r="10" spans="1:3" x14ac:dyDescent="0.25">
      <c r="A10" t="s">
        <v>346</v>
      </c>
      <c r="B10" t="s">
        <v>365</v>
      </c>
      <c r="C10">
        <v>2</v>
      </c>
    </row>
    <row r="11" spans="1:3" x14ac:dyDescent="0.25">
      <c r="A11" t="s">
        <v>347</v>
      </c>
      <c r="B11" t="s">
        <v>366</v>
      </c>
      <c r="C11">
        <v>1</v>
      </c>
    </row>
    <row r="12" spans="1:3" x14ac:dyDescent="0.25">
      <c r="C12">
        <v>0</v>
      </c>
    </row>
    <row r="13" spans="1:3" x14ac:dyDescent="0.25">
      <c r="A13" t="s">
        <v>348</v>
      </c>
      <c r="B13" t="s">
        <v>367</v>
      </c>
      <c r="C13">
        <v>-2</v>
      </c>
    </row>
    <row r="14" spans="1:3" x14ac:dyDescent="0.25">
      <c r="A14" t="s">
        <v>349</v>
      </c>
      <c r="B14" t="s">
        <v>368</v>
      </c>
      <c r="C14">
        <v>-3</v>
      </c>
    </row>
    <row r="15" spans="1:3" x14ac:dyDescent="0.25">
      <c r="A15" t="s">
        <v>8</v>
      </c>
      <c r="B15" t="s">
        <v>369</v>
      </c>
      <c r="C15">
        <v>-6</v>
      </c>
    </row>
    <row r="16" spans="1:3" x14ac:dyDescent="0.25">
      <c r="A16" t="s">
        <v>350</v>
      </c>
      <c r="B16" t="s">
        <v>370</v>
      </c>
      <c r="C16">
        <v>-9</v>
      </c>
    </row>
    <row r="17" spans="1:3" x14ac:dyDescent="0.25">
      <c r="A17" t="s">
        <v>351</v>
      </c>
      <c r="B17" t="s">
        <v>371</v>
      </c>
      <c r="C17">
        <v>-9</v>
      </c>
    </row>
    <row r="18" spans="1:3" x14ac:dyDescent="0.25">
      <c r="A18" t="s">
        <v>352</v>
      </c>
      <c r="B18" t="s">
        <v>372</v>
      </c>
      <c r="C18">
        <v>-12</v>
      </c>
    </row>
    <row r="19" spans="1:3" x14ac:dyDescent="0.25">
      <c r="A19" t="s">
        <v>353</v>
      </c>
      <c r="B19" t="s">
        <v>373</v>
      </c>
      <c r="C19">
        <v>-15</v>
      </c>
    </row>
    <row r="20" spans="1:3" x14ac:dyDescent="0.25">
      <c r="A20" t="s">
        <v>354</v>
      </c>
      <c r="B20" t="s">
        <v>374</v>
      </c>
      <c r="C20">
        <v>-18</v>
      </c>
    </row>
    <row r="21" spans="1:3" x14ac:dyDescent="0.25">
      <c r="A21" t="s">
        <v>355</v>
      </c>
      <c r="B21" t="s">
        <v>375</v>
      </c>
      <c r="C21">
        <v>-21</v>
      </c>
    </row>
    <row r="22" spans="1:3" x14ac:dyDescent="0.25">
      <c r="A22" t="s">
        <v>356</v>
      </c>
      <c r="B22" t="s">
        <v>376</v>
      </c>
      <c r="C22">
        <v>-24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base</vt:lpstr>
      <vt:lpstr>core</vt:lpstr>
      <vt:lpstr>not_core</vt:lpstr>
      <vt:lpstr>scaled</vt:lpstr>
      <vt:lpstr>imperial</vt:lpstr>
      <vt:lpstr>examples</vt:lpstr>
      <vt:lpstr>dimensions</vt:lpstr>
      <vt:lpstr>si_prefixes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forbes</dc:creator>
  <cp:lastModifiedBy>Braden Eliason</cp:lastModifiedBy>
  <dcterms:created xsi:type="dcterms:W3CDTF">2021-09-11T08:23:56Z</dcterms:created>
  <dcterms:modified xsi:type="dcterms:W3CDTF">2021-10-07T20:56:16Z</dcterms:modified>
</cp:coreProperties>
</file>